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PF Custom" sheetId="1" state="visible" r:id="rId1"/>
    <sheet xmlns:r="http://schemas.openxmlformats.org/officeDocument/2006/relationships" name="Custom Hydration Values" sheetId="2" state="visible" r:id="rId2"/>
    <sheet xmlns:r="http://schemas.openxmlformats.org/officeDocument/2006/relationships" name="Report Config" sheetId="3" state="visible" r:id="rId3"/>
    <sheet xmlns:r="http://schemas.openxmlformats.org/officeDocument/2006/relationships" name="Open Items" sheetId="4" state="visible" r:id="rId4"/>
  </sheets>
  <definedNames/>
  <calcPr calcId="191029" fullCalcOnLoad="1"/>
</workbook>
</file>

<file path=xl/styles.xml><?xml version="1.0" encoding="utf-8"?>
<styleSheet xmlns="http://schemas.openxmlformats.org/spreadsheetml/2006/main">
  <numFmts count="1">
    <numFmt numFmtId="164" formatCode="[$$-409]#,##0.00;[Red]\-[$$-409]#,##0.00"/>
  </numFmts>
  <fonts count="19">
    <font>
      <name val="Aptos Narrow"/>
      <family val="2"/>
      <color theme="1"/>
      <sz val="11"/>
      <scheme val="minor"/>
    </font>
    <font>
      <name val="Arial"/>
      <family val="2"/>
      <color rgb="FF000000"/>
      <sz val="10"/>
    </font>
    <font>
      <name val="Arial"/>
      <family val="2"/>
      <sz val="12"/>
    </font>
    <font>
      <name val="Calibri"/>
      <family val="2"/>
      <b val="1"/>
      <color rgb="FF000000"/>
      <sz val="11"/>
    </font>
    <font>
      <name val="Arial"/>
      <family val="2"/>
      <sz val="10"/>
    </font>
    <font>
      <name val="Calibri"/>
      <family val="2"/>
      <color rgb="FF000000"/>
      <sz val="11"/>
    </font>
    <font>
      <name val="Arial"/>
      <family val="2"/>
      <color rgb="FF000000"/>
      <sz val="12"/>
    </font>
    <font>
      <name val="Arial"/>
      <family val="2"/>
      <sz val="12"/>
    </font>
    <font>
      <name val="Aptos Narrow"/>
      <family val="2"/>
      <color theme="1"/>
      <sz val="20"/>
      <scheme val="minor"/>
    </font>
    <font>
      <name val="Calibri"/>
      <family val="2"/>
      <color rgb="FF000000"/>
      <sz val="11"/>
    </font>
    <font>
      <name val="Calibri"/>
      <family val="2"/>
      <b val="1"/>
      <color rgb="FF000000"/>
      <sz val="11"/>
    </font>
    <font>
      <name val="Arial"/>
      <family val="2"/>
      <color theme="0"/>
      <sz val="12"/>
    </font>
    <font>
      <name val="Arial"/>
      <family val="2"/>
      <color theme="0"/>
      <sz val="10"/>
    </font>
    <font>
      <name val="Aptos Narrow"/>
      <family val="2"/>
      <b val="1"/>
      <color theme="1"/>
      <sz val="11"/>
      <scheme val="minor"/>
    </font>
    <font>
      <name val="Arial"/>
      <family val="2"/>
      <b val="1"/>
      <color theme="0"/>
      <sz val="12"/>
    </font>
    <font>
      <strike val="1"/>
      <color rgb="009C0006"/>
    </font>
    <font>
      <b val="1"/>
      <color rgb="001F3864"/>
      <sz val="14"/>
    </font>
    <font>
      <b val="1"/>
      <color rgb="001F3864"/>
      <sz val="11"/>
    </font>
    <font>
      <b val="1"/>
      <color rgb="00FFFFFF"/>
      <sz val="11"/>
    </font>
  </fonts>
  <fills count="14">
    <fill>
      <patternFill/>
    </fill>
    <fill>
      <patternFill patternType="gray125"/>
    </fill>
    <fill>
      <patternFill patternType="solid">
        <fgColor rgb="FFFFFF00"/>
        <bgColor indexed="64"/>
      </patternFill>
    </fill>
    <fill>
      <patternFill patternType="solid">
        <fgColor theme="1"/>
        <bgColor indexed="64"/>
      </patternFill>
    </fill>
    <fill>
      <patternFill patternType="solid">
        <fgColor rgb="FF92D050"/>
        <bgColor indexed="64"/>
      </patternFill>
    </fill>
    <fill>
      <patternFill patternType="solid">
        <fgColor theme="0" tint="-0.1499984740745262"/>
        <bgColor indexed="64"/>
      </patternFill>
    </fill>
    <fill>
      <patternFill patternType="solid">
        <fgColor rgb="FFFF0000"/>
        <bgColor indexed="64"/>
      </patternFill>
    </fill>
    <fill>
      <patternFill patternType="solid">
        <fgColor theme="4"/>
        <bgColor indexed="64"/>
      </patternFill>
    </fill>
    <fill>
      <patternFill patternType="solid">
        <fgColor rgb="00FFF3CD"/>
      </patternFill>
    </fill>
    <fill>
      <patternFill patternType="solid">
        <fgColor rgb="00DBEAFE"/>
      </patternFill>
    </fill>
    <fill>
      <patternFill patternType="solid">
        <fgColor rgb="00F8D7DA"/>
      </patternFill>
    </fill>
    <fill>
      <patternFill patternType="solid">
        <fgColor rgb="00D9E2F3"/>
      </patternFill>
    </fill>
    <fill>
      <patternFill patternType="solid">
        <fgColor rgb="001F3864"/>
      </patternFill>
    </fill>
    <fill>
      <patternFill patternType="solid">
        <fgColor rgb="00FFF9E6"/>
      </patternFill>
    </fill>
  </fills>
  <borders count="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2">
    <xf numFmtId="0" fontId="0" fillId="0" borderId="0"/>
    <xf numFmtId="164" fontId="1" fillId="0" borderId="0"/>
  </cellStyleXfs>
  <cellXfs count="142">
    <xf numFmtId="0" fontId="0" fillId="0" borderId="0" pivotButton="0" quotePrefix="0" xfId="0"/>
    <xf numFmtId="0" fontId="2" fillId="0" borderId="0" pivotButton="0" quotePrefix="0" xfId="1"/>
    <xf numFmtId="164" fontId="1" fillId="0" borderId="0" pivotButton="0" quotePrefix="0" xfId="1"/>
    <xf numFmtId="0" fontId="5" fillId="0" borderId="1" applyAlignment="1" pivotButton="0" quotePrefix="0" xfId="0">
      <alignment horizontal="left"/>
    </xf>
    <xf numFmtId="0" fontId="3" fillId="0" borderId="4" pivotButton="0" quotePrefix="0" xfId="0"/>
    <xf numFmtId="164" fontId="6" fillId="0" borderId="0" pivotButton="0" quotePrefix="0" xfId="1"/>
    <xf numFmtId="0" fontId="7" fillId="0" borderId="0" pivotButton="0" quotePrefix="0" xfId="1"/>
    <xf numFmtId="0" fontId="8" fillId="0" borderId="0" pivotButton="0" quotePrefix="0" xfId="0"/>
    <xf numFmtId="0" fontId="3" fillId="0" borderId="8" pivotButton="0" quotePrefix="0" xfId="0"/>
    <xf numFmtId="0" fontId="2" fillId="2" borderId="0" pivotButton="0" quotePrefix="0" xfId="1"/>
    <xf numFmtId="164" fontId="1" fillId="2" borderId="0" pivotButton="0" quotePrefix="0" xfId="1"/>
    <xf numFmtId="0" fontId="11" fillId="3" borderId="0" pivotButton="0" quotePrefix="0" xfId="1"/>
    <xf numFmtId="164" fontId="12" fillId="3" borderId="0" pivotButton="0" quotePrefix="0" xfId="1"/>
    <xf numFmtId="0" fontId="0" fillId="2" borderId="0" pivotButton="0" quotePrefix="0" xfId="0"/>
    <xf numFmtId="0" fontId="11" fillId="0" borderId="0" pivotButton="0" quotePrefix="0" xfId="1"/>
    <xf numFmtId="0" fontId="3" fillId="0" borderId="0" pivotButton="0" quotePrefix="0" xfId="0"/>
    <xf numFmtId="0" fontId="10" fillId="0" borderId="0" pivotButton="0" quotePrefix="0" xfId="0"/>
    <xf numFmtId="0" fontId="5" fillId="0" borderId="9" applyAlignment="1" pivotButton="0" quotePrefix="0" xfId="0">
      <alignment horizontal="left"/>
    </xf>
    <xf numFmtId="0" fontId="3" fillId="0" borderId="13" pivotButton="0" quotePrefix="0" xfId="0"/>
    <xf numFmtId="0" fontId="13" fillId="0" borderId="0" pivotButton="0" quotePrefix="0" xfId="0"/>
    <xf numFmtId="4" fontId="9"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10" fillId="4" borderId="0" pivotButton="0" quotePrefix="0" xfId="0"/>
    <xf numFmtId="0" fontId="13" fillId="4" borderId="0" pivotButton="0" quotePrefix="0" xfId="0"/>
    <xf numFmtId="4" fontId="3" fillId="0" borderId="0" applyAlignment="1" pivotButton="0" quotePrefix="0" xfId="0">
      <alignment horizontal="center"/>
    </xf>
    <xf numFmtId="0" fontId="13" fillId="0" borderId="0" applyAlignment="1" pivotButton="0" quotePrefix="0" xfId="0">
      <alignment horizontal="center"/>
    </xf>
    <xf numFmtId="0" fontId="2" fillId="0" borderId="0" applyAlignment="1" pivotButton="0" quotePrefix="0" xfId="1">
      <alignment horizontal="center" vertical="center"/>
    </xf>
    <xf numFmtId="0" fontId="0" fillId="5" borderId="0" applyAlignment="1" pivotButton="0" quotePrefix="0" xfId="0">
      <alignment horizontal="center" vertical="center"/>
    </xf>
    <xf numFmtId="0" fontId="2" fillId="5" borderId="0" applyAlignment="1" pivotButton="0" quotePrefix="0" xfId="1">
      <alignment horizontal="center" vertical="center"/>
    </xf>
    <xf numFmtId="4" fontId="5" fillId="6" borderId="0" pivotButton="0" quotePrefix="0" xfId="0"/>
    <xf numFmtId="4" fontId="9" fillId="6" borderId="0" pivotButton="0" quotePrefix="0" xfId="0"/>
    <xf numFmtId="0" fontId="13" fillId="6" borderId="0" applyAlignment="1" pivotButton="0" quotePrefix="0" xfId="0">
      <alignment horizontal="center"/>
    </xf>
    <xf numFmtId="0" fontId="0" fillId="6" borderId="0" applyAlignment="1" pivotButton="0" quotePrefix="0" xfId="0">
      <alignment horizontal="center"/>
    </xf>
    <xf numFmtId="0" fontId="0" fillId="7" borderId="0" pivotButton="0" quotePrefix="0" xfId="0"/>
    <xf numFmtId="0" fontId="10" fillId="7" borderId="0" pivotButton="0" quotePrefix="0" xfId="0"/>
    <xf numFmtId="4" fontId="3" fillId="7" borderId="0" applyAlignment="1" pivotButton="0" quotePrefix="0" xfId="0">
      <alignment horizontal="center"/>
    </xf>
    <xf numFmtId="0" fontId="0" fillId="7" borderId="0" applyAlignment="1" pivotButton="0" quotePrefix="0" xfId="0">
      <alignment horizontal="center" vertical="center"/>
    </xf>
    <xf numFmtId="0" fontId="3" fillId="7" borderId="0" pivotButton="0" quotePrefix="0" xfId="0"/>
    <xf numFmtId="0" fontId="3" fillId="7" borderId="0" applyAlignment="1" pivotButton="0" quotePrefix="0" xfId="0">
      <alignment horizontal="center"/>
    </xf>
    <xf numFmtId="0" fontId="13" fillId="7" borderId="0" applyAlignment="1" pivotButton="0" quotePrefix="0" xfId="0">
      <alignment horizontal="center"/>
    </xf>
    <xf numFmtId="0" fontId="0" fillId="7" borderId="0" applyAlignment="1" pivotButton="0" quotePrefix="0" xfId="0">
      <alignment horizontal="center"/>
    </xf>
    <xf numFmtId="0" fontId="13" fillId="7" borderId="0" pivotButton="0" quotePrefix="0" xfId="0"/>
    <xf numFmtId="0" fontId="5" fillId="7" borderId="9" applyAlignment="1" pivotButton="0" quotePrefix="0" xfId="0">
      <alignment horizontal="left"/>
    </xf>
    <xf numFmtId="0" fontId="3" fillId="7" borderId="9" applyAlignment="1" pivotButton="0" quotePrefix="0" xfId="0">
      <alignment horizontal="center"/>
    </xf>
    <xf numFmtId="0" fontId="3" fillId="7" borderId="10" applyAlignment="1" pivotButton="0" quotePrefix="0" xfId="0">
      <alignment horizontal="center"/>
    </xf>
    <xf numFmtId="0" fontId="3" fillId="7" borderId="11" applyAlignment="1" pivotButton="0" quotePrefix="0" xfId="0">
      <alignment horizontal="center"/>
    </xf>
    <xf numFmtId="0" fontId="3" fillId="7" borderId="13" pivotButton="0" quotePrefix="0" xfId="0"/>
    <xf numFmtId="3" fontId="9" fillId="7" borderId="13" applyAlignment="1" pivotButton="0" quotePrefix="0" xfId="0">
      <alignment horizontal="center"/>
    </xf>
    <xf numFmtId="0" fontId="9" fillId="7" borderId="13" applyAlignment="1" pivotButton="0" quotePrefix="0" xfId="0">
      <alignment horizontal="center"/>
    </xf>
    <xf numFmtId="4" fontId="9" fillId="7" borderId="13" applyAlignment="1" pivotButton="0" quotePrefix="0" xfId="0">
      <alignment horizontal="center"/>
    </xf>
    <xf numFmtId="4" fontId="5" fillId="7" borderId="0" pivotButton="0" quotePrefix="0" xfId="0"/>
    <xf numFmtId="4" fontId="9" fillId="7" borderId="0" pivotButton="0" quotePrefix="0" xfId="0"/>
    <xf numFmtId="4" fontId="5" fillId="7" borderId="0" applyAlignment="1" pivotButton="0" quotePrefix="0" xfId="0">
      <alignment horizontal="center"/>
    </xf>
    <xf numFmtId="0" fontId="11" fillId="7" borderId="0" pivotButton="0" quotePrefix="0" xfId="1"/>
    <xf numFmtId="164" fontId="12" fillId="7" borderId="0" pivotButton="0" quotePrefix="0" xfId="1"/>
    <xf numFmtId="0" fontId="2" fillId="7" borderId="0" pivotButton="0" quotePrefix="0" xfId="1"/>
    <xf numFmtId="164" fontId="1" fillId="7" borderId="0" pivotButton="0" quotePrefix="0" xfId="1"/>
    <xf numFmtId="0" fontId="11" fillId="7" borderId="0" applyAlignment="1" pivotButton="0" quotePrefix="0" xfId="1">
      <alignment horizontal="center" vertical="center"/>
    </xf>
    <xf numFmtId="0" fontId="2" fillId="7" borderId="0" applyAlignment="1" pivotButton="0" quotePrefix="0" xfId="1">
      <alignment horizontal="center" vertical="center"/>
    </xf>
    <xf numFmtId="4" fontId="5" fillId="6" borderId="0" applyAlignment="1" pivotButton="0" quotePrefix="0" xfId="0">
      <alignment horizontal="center"/>
    </xf>
    <xf numFmtId="0" fontId="0" fillId="6" borderId="0" pivotButton="0" quotePrefix="0" xfId="0"/>
    <xf numFmtId="0" fontId="11" fillId="2" borderId="0" pivotButton="0" quotePrefix="0" xfId="1"/>
    <xf numFmtId="164" fontId="12" fillId="2" borderId="0" pivotButton="0" quotePrefix="0" xfId="1"/>
    <xf numFmtId="2" fontId="6" fillId="0" borderId="0" pivotButton="0" quotePrefix="0" xfId="1"/>
    <xf numFmtId="0" fontId="14" fillId="6" borderId="0" applyAlignment="1" pivotButton="0" quotePrefix="0" xfId="1">
      <alignment horizontal="right"/>
    </xf>
    <xf numFmtId="0" fontId="9" fillId="2" borderId="13" applyAlignment="1" pivotButton="0" quotePrefix="0" xfId="0">
      <alignment horizontal="center"/>
    </xf>
    <xf numFmtId="0" fontId="3" fillId="0" borderId="1" applyAlignment="1" pivotButton="0" quotePrefix="0" xfId="0">
      <alignment horizontal="center"/>
    </xf>
    <xf numFmtId="0" fontId="3" fillId="0" borderId="2" applyAlignment="1" pivotButton="0" quotePrefix="0" xfId="0">
      <alignment horizontal="center"/>
    </xf>
    <xf numFmtId="0" fontId="3" fillId="0" borderId="3" applyAlignment="1" pivotButton="0" quotePrefix="0" xfId="0">
      <alignment horizontal="center"/>
    </xf>
    <xf numFmtId="3" fontId="9" fillId="2" borderId="9" applyAlignment="1" pivotButton="0" quotePrefix="0" xfId="0">
      <alignment horizontal="center"/>
    </xf>
    <xf numFmtId="3" fontId="9" fillId="2" borderId="10" applyAlignment="1" pivotButton="0" quotePrefix="0" xfId="0">
      <alignment horizontal="center"/>
    </xf>
    <xf numFmtId="3" fontId="9" fillId="2" borderId="11" applyAlignment="1" pivotButton="0" quotePrefix="0" xfId="0">
      <alignment horizontal="center"/>
    </xf>
    <xf numFmtId="4" fontId="9" fillId="2" borderId="5" applyAlignment="1" pivotButton="0" quotePrefix="0" xfId="0">
      <alignment horizontal="center"/>
    </xf>
    <xf numFmtId="4" fontId="9" fillId="2" borderId="6" applyAlignment="1" pivotButton="0" quotePrefix="0" xfId="0">
      <alignment horizontal="center"/>
    </xf>
    <xf numFmtId="4" fontId="9" fillId="2" borderId="7" applyAlignment="1" pivotButton="0" quotePrefix="0" xfId="0">
      <alignment horizontal="center"/>
    </xf>
    <xf numFmtId="4" fontId="5" fillId="7" borderId="0" applyAlignment="1" pivotButton="0" quotePrefix="0" xfId="0">
      <alignment horizontal="center"/>
    </xf>
    <xf numFmtId="0" fontId="3" fillId="7" borderId="1" applyAlignment="1" pivotButton="0" quotePrefix="0" xfId="0">
      <alignment horizontal="center"/>
    </xf>
    <xf numFmtId="0" fontId="3" fillId="7" borderId="2" applyAlignment="1" pivotButton="0" quotePrefix="0" xfId="0">
      <alignment horizontal="center"/>
    </xf>
    <xf numFmtId="0" fontId="3" fillId="7" borderId="3" applyAlignment="1" pivotButton="0" quotePrefix="0" xfId="0">
      <alignment horizontal="center"/>
    </xf>
    <xf numFmtId="0" fontId="3" fillId="0" borderId="9" applyAlignment="1" pivotButton="0" quotePrefix="0" xfId="0">
      <alignment horizontal="center"/>
    </xf>
    <xf numFmtId="0" fontId="3" fillId="0" borderId="10" applyAlignment="1" pivotButton="0" quotePrefix="0" xfId="0">
      <alignment horizontal="center"/>
    </xf>
    <xf numFmtId="0" fontId="3" fillId="0" borderId="11" applyAlignment="1" pivotButton="0" quotePrefix="0" xfId="0">
      <alignment horizontal="center"/>
    </xf>
    <xf numFmtId="0" fontId="8" fillId="0" borderId="0" applyAlignment="1" pivotButton="0" quotePrefix="0" xfId="0">
      <alignment horizontal="left"/>
    </xf>
    <xf numFmtId="4" fontId="5" fillId="0" borderId="0" applyAlignment="1" pivotButton="0" quotePrefix="0" xfId="0">
      <alignment horizontal="center"/>
    </xf>
    <xf numFmtId="0" fontId="4" fillId="7" borderId="2" pivotButton="0" quotePrefix="0" xfId="0"/>
    <xf numFmtId="0" fontId="4" fillId="7" borderId="3" pivotButton="0" quotePrefix="0" xfId="0"/>
    <xf numFmtId="0" fontId="3" fillId="7" borderId="9" applyAlignment="1" pivotButton="0" quotePrefix="0" xfId="0">
      <alignment horizontal="center"/>
    </xf>
    <xf numFmtId="0" fontId="3" fillId="7" borderId="10" applyAlignment="1" pivotButton="0" quotePrefix="0" xfId="0">
      <alignment horizontal="center"/>
    </xf>
    <xf numFmtId="0" fontId="3" fillId="7" borderId="11" applyAlignment="1" pivotButton="0" quotePrefix="0" xfId="0">
      <alignment horizontal="center"/>
    </xf>
    <xf numFmtId="3" fontId="9" fillId="7" borderId="13" applyAlignment="1" pivotButton="0" quotePrefix="0" xfId="0">
      <alignment horizontal="center"/>
    </xf>
    <xf numFmtId="0" fontId="9" fillId="7" borderId="13" applyAlignment="1" pivotButton="0" quotePrefix="0" xfId="0">
      <alignment horizontal="center"/>
    </xf>
    <xf numFmtId="4" fontId="9" fillId="7" borderId="13" applyAlignment="1" pivotButton="0" quotePrefix="0" xfId="0">
      <alignment horizontal="center"/>
    </xf>
    <xf numFmtId="0" fontId="4" fillId="0" borderId="2" pivotButton="0" quotePrefix="0" xfId="0"/>
    <xf numFmtId="0" fontId="4" fillId="0" borderId="3" pivotButton="0" quotePrefix="0" xfId="0"/>
    <xf numFmtId="3" fontId="9" fillId="2" borderId="13" applyAlignment="1" pivotButton="0" quotePrefix="0" xfId="0">
      <alignment horizontal="center"/>
    </xf>
    <xf numFmtId="4" fontId="9" fillId="2" borderId="13" applyAlignment="1" pivotButton="0" quotePrefix="0" xfId="0">
      <alignment horizontal="center"/>
    </xf>
    <xf numFmtId="0" fontId="4" fillId="2" borderId="6" pivotButton="0" quotePrefix="0" xfId="0"/>
    <xf numFmtId="0" fontId="4" fillId="2" borderId="7" pivotButton="0" quotePrefix="0" xfId="0"/>
    <xf numFmtId="0" fontId="4" fillId="2" borderId="13" pivotButton="0" quotePrefix="0" xfId="0"/>
    <xf numFmtId="0" fontId="10" fillId="0" borderId="2" applyAlignment="1" pivotButton="0" quotePrefix="0" xfId="0">
      <alignment horizontal="center"/>
    </xf>
    <xf numFmtId="3" fontId="9" fillId="2" borderId="4" applyAlignment="1" pivotButton="0" quotePrefix="0" xfId="0">
      <alignment horizontal="center"/>
    </xf>
    <xf numFmtId="0" fontId="4" fillId="2" borderId="0" pivotButton="0" quotePrefix="0" xfId="0"/>
    <xf numFmtId="0" fontId="4" fillId="2" borderId="12" pivotButton="0" quotePrefix="0" xfId="0"/>
    <xf numFmtId="0" fontId="3" fillId="0" borderId="14" applyAlignment="1" pivotButton="0" quotePrefix="0" xfId="0">
      <alignment horizontal="center"/>
    </xf>
    <xf numFmtId="0" fontId="0" fillId="0" borderId="2" pivotButton="0" quotePrefix="0" xfId="0"/>
    <xf numFmtId="0" fontId="0" fillId="0" borderId="3" pivotButton="0" quotePrefix="0" xfId="0"/>
    <xf numFmtId="0" fontId="3" fillId="9" borderId="14" applyAlignment="1" pivotButton="0" quotePrefix="0" xfId="0">
      <alignment horizontal="center"/>
    </xf>
    <xf numFmtId="0" fontId="3" fillId="7" borderId="14" applyAlignment="1" pivotButton="0" quotePrefix="0" xfId="0">
      <alignment horizontal="center"/>
    </xf>
    <xf numFmtId="0" fontId="5" fillId="9" borderId="9" applyAlignment="1" pivotButton="0" quotePrefix="0" xfId="0">
      <alignment horizontal="left"/>
    </xf>
    <xf numFmtId="0" fontId="3" fillId="0" borderId="15" applyAlignment="1" pivotButton="0" quotePrefix="0" xfId="0">
      <alignment horizontal="center"/>
    </xf>
    <xf numFmtId="0" fontId="0" fillId="0" borderId="10" pivotButton="0" quotePrefix="0" xfId="0"/>
    <xf numFmtId="0" fontId="0" fillId="0" borderId="11" pivotButton="0" quotePrefix="0" xfId="0"/>
    <xf numFmtId="0" fontId="3" fillId="7" borderId="15" applyAlignment="1" pivotButton="0" quotePrefix="0" xfId="0">
      <alignment horizontal="center"/>
    </xf>
    <xf numFmtId="0" fontId="0" fillId="0" borderId="18" pivotButton="0" quotePrefix="0" xfId="0"/>
    <xf numFmtId="0" fontId="0" fillId="0" borderId="19" pivotButton="0" quotePrefix="0" xfId="0"/>
    <xf numFmtId="0" fontId="3" fillId="8" borderId="0" pivotButton="0" quotePrefix="0" xfId="0"/>
    <xf numFmtId="0" fontId="0" fillId="8" borderId="0" pivotButton="0" quotePrefix="0" xfId="0"/>
    <xf numFmtId="0" fontId="13" fillId="9" borderId="0" applyAlignment="1" pivotButton="0" quotePrefix="0" xfId="0">
      <alignment horizontal="center"/>
    </xf>
    <xf numFmtId="3" fontId="9" fillId="2" borderId="21" applyAlignment="1" pivotButton="0" quotePrefix="0" xfId="0">
      <alignment horizontal="center"/>
    </xf>
    <xf numFmtId="0" fontId="0" fillId="0" borderId="12" pivotButton="0" quotePrefix="0" xfId="0"/>
    <xf numFmtId="4" fontId="9" fillId="2" borderId="20" applyAlignment="1" pivotButton="0" quotePrefix="0" xfId="0">
      <alignment horizontal="center"/>
    </xf>
    <xf numFmtId="0" fontId="0" fillId="0" borderId="6" pivotButton="0" quotePrefix="0" xfId="0"/>
    <xf numFmtId="0" fontId="0" fillId="0" borderId="7" pivotButton="0" quotePrefix="0" xfId="0"/>
    <xf numFmtId="3" fontId="9" fillId="2" borderId="15" applyAlignment="1" pivotButton="0" quotePrefix="0" xfId="0">
      <alignment horizontal="center"/>
    </xf>
    <xf numFmtId="164" fontId="1" fillId="9" borderId="0" pivotButton="0" quotePrefix="0" xfId="1"/>
    <xf numFmtId="0" fontId="2" fillId="9" borderId="0" pivotButton="0" quotePrefix="0" xfId="1"/>
    <xf numFmtId="0" fontId="15" fillId="10" borderId="0" pivotButton="0" quotePrefix="0" xfId="1"/>
    <xf numFmtId="0" fontId="2" fillId="8" borderId="0" pivotButton="0" quotePrefix="0" xfId="1"/>
    <xf numFmtId="0" fontId="16" fillId="0" borderId="0" pivotButton="0" quotePrefix="0" xfId="0"/>
    <xf numFmtId="0" fontId="0" fillId="0" borderId="0" applyAlignment="1" pivotButton="0" quotePrefix="0" xfId="0">
      <alignment vertical="top" wrapText="1"/>
    </xf>
    <xf numFmtId="0" fontId="17" fillId="11" borderId="0" pivotButton="0" quotePrefix="0" xfId="0"/>
    <xf numFmtId="0" fontId="18" fillId="12" borderId="22" applyAlignment="1" pivotButton="0" quotePrefix="0" xfId="0">
      <alignment vertical="center" wrapText="1"/>
    </xf>
    <xf numFmtId="0" fontId="0" fillId="8" borderId="22" applyAlignment="1" pivotButton="0" quotePrefix="0" xfId="0">
      <alignment vertical="top" wrapText="1"/>
    </xf>
    <xf numFmtId="0" fontId="0" fillId="0" borderId="22" applyAlignment="1" pivotButton="0" quotePrefix="0" xfId="0">
      <alignment vertical="top" wrapText="1"/>
    </xf>
    <xf numFmtId="0" fontId="0" fillId="13" borderId="22" applyAlignment="1" pivotButton="0" quotePrefix="0" xfId="0">
      <alignment vertical="top" wrapText="1"/>
    </xf>
    <xf numFmtId="0" fontId="0" fillId="0" borderId="22" pivotButton="0" quotePrefix="0" xfId="0"/>
    <xf numFmtId="0" fontId="11" fillId="8" borderId="0" pivotButton="0" quotePrefix="0" xfId="1"/>
    <xf numFmtId="0" fontId="0" fillId="10" borderId="22" applyAlignment="1" pivotButton="0" quotePrefix="0" xfId="0">
      <alignment vertical="top" wrapText="1"/>
    </xf>
    <xf numFmtId="0" fontId="0" fillId="9" borderId="22" applyAlignment="1" pivotButton="0" quotePrefix="0" xfId="0">
      <alignment vertical="top" wrapText="1"/>
    </xf>
    <xf numFmtId="0" fontId="0" fillId="0" borderId="25" pivotButton="0" quotePrefix="0" xfId="0"/>
    <xf numFmtId="0" fontId="0" fillId="0" borderId="26"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Andrew / Claude (Aug 14 call)</author>
  </authors>
  <commentList>
    <comment ref="J3" authorId="0" shapeId="0">
      <text>
        <t>12 / 5 / 24xSS pack columns are structural templates only - no gram values were entered. Every adjustable item is a STEPPED selection made per serve, so these packs should be derived (per-serve step value x serves-in-pack), not typed in by hand.</t>
      </text>
    </comment>
    <comment ref="B4" authorId="0" shapeId="0">
      <text>
        <t>Base components sum to 1893.25 g (Malto 1127.57 + Fructose 500 + Dextrose 12.43 + Flavour RTU 253.25) against a stated batch weight of 1948.25 g - 55.00 g unaccounted.
90g batch: components 2272.05 g vs stated 2333.23 g (61.18 g short; close to the 61.14 g mid electrolyte dose, so the stated weight may already include electrolytes).
120g batch: components 2246.79 g vs stated 2220 g (26.79 g OVER).
Worth reconciling before the BOMs are built - a BI report that totals components will not match these figures.</t>
      </text>
    </comment>
    <comment ref="A12" authorId="0" shapeId="0">
      <text>
        <t>Calories is a nutritional attribute, not a Fishbowl part - nothing to consume on the work order. Suggest removing this row or moving it to a label/nutrition panel sheet.</t>
      </text>
    </comment>
    <comment ref="I12" authorId="0" shapeId="0">
      <text>
        <t>Calories is a nutritional attribute, not a Fishbowl part - nothing to consume on the work order. Suggest removing this row or moving it to a label/nutrition panel sheet.</t>
      </text>
    </comment>
    <comment ref="Q12" authorId="0" shapeId="0">
      <text>
        <t>Calories is a nutritional attribute, not a Fishbowl part - nothing to consume on the work order. Suggest removing this row or moving it to a label/nutrition panel sheet.</t>
      </text>
    </comment>
    <comment ref="Z13" authorId="0" shapeId="0">
      <text>
        <t>Fishbowl part number required.
Aug 14 call (00:25): "are these the part numbers you've got in Fishbowl?" - Stacy to confirm. The BI report cannot resolve a component to part.id / uom.id without it, so every '????' here blocks the build.</t>
      </text>
    </comment>
    <comment ref="A14" authorId="0" shapeId="0">
      <text>
        <t>Fishbowl part number required.
Aug 14 call (00:25): "are these the part numbers you've got in Fishbowl?" - Stacy to confirm. The BI report cannot resolve a component to part.id / uom.id without it, so every '????' here blocks the build.</t>
      </text>
    </comment>
    <comment ref="I14" authorId="0" shapeId="0">
      <text>
        <t>Fishbowl part number required.
Aug 14 call (00:25): "are these the part numbers you've got in Fishbowl?" - Stacy to confirm. The BI report cannot resolve a component to part.id / uom.id without it, so every '????' here blocks the build.</t>
      </text>
    </comment>
    <comment ref="Q14" authorId="0" shapeId="0">
      <text>
        <t>Fishbowl part number required.
Aug 14 call (00:25): "are these the part numbers you've got in Fishbowl?" - Stacy to confirm. The BI report cannot resolve a component to part.id / uom.id without it, so every '????' here blocks the build.</t>
      </text>
    </comment>
    <comment ref="Z15" authorId="0" shapeId="0">
      <text>
        <t>Fishbowl part number required.
Aug 14 call (00:25): "are these the part numbers you've got in Fishbowl?" - Stacy to confirm. The BI report cannot resolve a component to part.id / uom.id without it, so every '????' here blocks the build.</t>
      </text>
    </comment>
    <comment ref="A18" authorId="0" shapeId="0">
      <text>
        <t>Fishbowl part number required.
Aug 14 call (00:25): "are these the part numbers you've got in Fishbowl?" - Stacy to confirm. The BI report cannot resolve a component to part.id / uom.id without it, so every '????' here blocks the build.</t>
      </text>
    </comment>
    <comment ref="I18" authorId="0" shapeId="0">
      <text>
        <t>Fishbowl part number required.
Aug 14 call (00:25): "are these the part numbers you've got in Fishbowl?" - Stacy to confirm. The BI report cannot resolve a component to part.id / uom.id without it, so every '????' here blocks the build.</t>
      </text>
    </comment>
    <comment ref="Q18" authorId="0" shapeId="0">
      <text>
        <t>Fishbowl part number required.
Aug 14 call (00:25): "are these the part numbers you've got in Fishbowl?" - Stacy to confirm. The BI report cannot resolve a component to part.id / uom.id without it, so every '????' here blocks the build.</t>
      </text>
    </comment>
    <comment ref="Z19" authorId="0" shapeId="0">
      <text>
        <t>Fishbowl part number required.
Aug 14 call (00:25): "are these the part numbers you've got in Fishbowl?" - Stacy to confirm. The BI report cannot resolve a component to part.id / uom.id without it, so every '????' here blocks the build.</t>
      </text>
    </comment>
    <comment ref="A20" authorId="0" shapeId="0">
      <text>
        <t>Fishbowl part number required.
Aug 14 call (00:25): "are these the part numbers you've got in Fishbowl?" - Stacy to confirm. The BI report cannot resolve a component to part.id / uom.id without it, so every '????' here blocks the build.</t>
      </text>
    </comment>
    <comment ref="I20" authorId="0" shapeId="0">
      <text>
        <t>Fishbowl part number required.
Aug 14 call (00:25): "are these the part numbers you've got in Fishbowl?" - Stacy to confirm. The BI report cannot resolve a component to part.id / uom.id without it, so every '????' here blocks the build.</t>
      </text>
    </comment>
    <comment ref="Q20" authorId="0" shapeId="0">
      <text>
        <t>Fishbowl part number required.
Aug 14 call (00:25): "are these the part numbers you've got in Fishbowl?" - Stacy to confirm. The BI report cannot resolve a component to part.id / uom.id without it, so every '????' here blocks the build.</t>
      </text>
    </comment>
    <comment ref="K21" authorId="0" shapeId="0">
      <text>
        <t>Caffeine top step reads 200mg per serving here, but 100mg per serving in the 25-serve column (C21:G21). The step list is defined once, per serve - it should not differ by pack size. Confirm which is right.</t>
      </text>
    </comment>
    <comment ref="Z21" authorId="0" shapeId="0">
      <text>
        <t>Fishbowl part number required.
Aug 14 call (00:25): "are these the part numbers you've got in Fishbowl?" - Stacy to confirm. The BI report cannot resolve a component to part.id / uom.id without it, so every '????' here blocks the build.</t>
      </text>
    </comment>
    <comment ref="A34" authorId="0" shapeId="0">
      <text>
        <t>Calories is a nutritional attribute, not a Fishbowl part - nothing to consume on the work order. Suggest removing this row or moving it to a label/nutrition panel sheet.</t>
      </text>
    </comment>
    <comment ref="I34" authorId="0" shapeId="0">
      <text>
        <t>Calories is a nutritional attribute, not a Fishbowl part - nothing to consume on the work order. Suggest removing this row or moving it to a label/nutrition panel sheet.</t>
      </text>
    </comment>
    <comment ref="Q34" authorId="0" shapeId="0">
      <text>
        <t>Calories is a nutritional attribute, not a Fishbowl part - nothing to consume on the work order. Suggest removing this row or moving it to a label/nutrition panel sheet.</t>
      </text>
    </comment>
    <comment ref="Z35" authorId="0" shapeId="0">
      <text>
        <t>Fishbowl part number required.
Aug 14 call (00:25): "are these the part numbers you've got in Fishbowl?" - Stacy to confirm. The BI report cannot resolve a component to part.id / uom.id without it, so every '????' here blocks the build.</t>
      </text>
    </comment>
    <comment ref="A36" authorId="0" shapeId="0">
      <text>
        <t>Fishbowl part number required.
Aug 14 call (00:25): "are these the part numbers you've got in Fishbowl?" - Stacy to confirm. The BI report cannot resolve a component to part.id / uom.id without it, so every '????' here blocks the build.</t>
      </text>
    </comment>
    <comment ref="I36" authorId="0" shapeId="0">
      <text>
        <t>Fishbowl part number required.
Aug 14 call (00:25): "are these the part numbers you've got in Fishbowl?" - Stacy to confirm. The BI report cannot resolve a component to part.id / uom.id without it, so every '????' here blocks the build.</t>
      </text>
    </comment>
    <comment ref="Q36" authorId="0" shapeId="0">
      <text>
        <t>Fishbowl part number required.
Aug 14 call (00:25): "are these the part numbers you've got in Fishbowl?" - Stacy to confirm. The BI report cannot resolve a component to part.id / uom.id without it, so every '????' here blocks the build.</t>
      </text>
    </comment>
    <comment ref="Z37" authorId="0" shapeId="0">
      <text>
        <t>Fishbowl part number required.
Aug 14 call (00:25): "are these the part numbers you've got in Fishbowl?" - Stacy to confirm. The BI report cannot resolve a component to part.id / uom.id without it, so every '????' here blocks the build.</t>
      </text>
    </comment>
    <comment ref="A40" authorId="0" shapeId="0">
      <text>
        <t>Fishbowl part number required.
Aug 14 call (00:25): "are these the part numbers you've got in Fishbowl?" - Stacy to confirm. The BI report cannot resolve a component to part.id / uom.id without it, so every '????' here blocks the build.</t>
      </text>
    </comment>
    <comment ref="I40" authorId="0" shapeId="0">
      <text>
        <t>Fishbowl part number required.
Aug 14 call (00:25): "are these the part numbers you've got in Fishbowl?" - Stacy to confirm. The BI report cannot resolve a component to part.id / uom.id without it, so every '????' here blocks the build.</t>
      </text>
    </comment>
    <comment ref="Q40" authorId="0" shapeId="0">
      <text>
        <t>Fishbowl part number required.
Aug 14 call (00:25): "are these the part numbers you've got in Fishbowl?" - Stacy to confirm. The BI report cannot resolve a component to part.id / uom.id without it, so every '????' here blocks the build.</t>
      </text>
    </comment>
    <comment ref="Z41" authorId="0" shapeId="0">
      <text>
        <t>Fishbowl part number required.
Aug 14 call (00:25): "are these the part numbers you've got in Fishbowl?" - Stacy to confirm. The BI report cannot resolve a component to part.id / uom.id without it, so every '????' here blocks the build.</t>
      </text>
    </comment>
    <comment ref="A42" authorId="0" shapeId="0">
      <text>
        <t>Fishbowl part number required.
Aug 14 call (00:25): "are these the part numbers you've got in Fishbowl?" - Stacy to confirm. The BI report cannot resolve a component to part.id / uom.id without it, so every '????' here blocks the build.</t>
      </text>
    </comment>
    <comment ref="I42" authorId="0" shapeId="0">
      <text>
        <t>Fishbowl part number required.
Aug 14 call (00:25): "are these the part numbers you've got in Fishbowl?" - Stacy to confirm. The BI report cannot resolve a component to part.id / uom.id without it, so every '????' here blocks the build.</t>
      </text>
    </comment>
    <comment ref="Q42" authorId="0" shapeId="0">
      <text>
        <t>Fishbowl part number required.
Aug 14 call (00:25): "are these the part numbers you've got in Fishbowl?" - Stacy to confirm. The BI report cannot resolve a component to part.id / uom.id without it, so every '????' here blocks the build.</t>
      </text>
    </comment>
    <comment ref="Z43" authorId="0" shapeId="0">
      <text>
        <t>Fishbowl part number required.
Aug 14 call (00:25): "are these the part numbers you've got in Fishbowl?" - Stacy to confirm. The BI report cannot resolve a component to part.id / uom.id without it, so every '????' here blocks the build.</t>
      </text>
    </comment>
    <comment ref="A57" authorId="0" shapeId="0">
      <text>
        <t>Calories is a nutritional attribute, not a Fishbowl part - nothing to consume on the work order. Suggest removing this row or moving it to a label/nutrition panel sheet.</t>
      </text>
    </comment>
    <comment ref="I57" authorId="0" shapeId="0">
      <text>
        <t>Calories is a nutritional attribute, not a Fishbowl part - nothing to consume on the work order. Suggest removing this row or moving it to a label/nutrition panel sheet.</t>
      </text>
    </comment>
    <comment ref="Q57" authorId="0" shapeId="0">
      <text>
        <t>Calories is a nutritional attribute, not a Fishbowl part - nothing to consume on the work order. Suggest removing this row or moving it to a label/nutrition panel sheet.</t>
      </text>
    </comment>
    <comment ref="AA58" authorId="0" shapeId="0">
      <text>
        <t>Fishbowl part number required.
Aug 14 call (00:25): "are these the part numbers you've got in Fishbowl?" - Stacy to confirm. The BI report cannot resolve a component to part.id / uom.id without it, so every '????' here blocks the build.</t>
      </text>
    </comment>
    <comment ref="A59" authorId="0" shapeId="0">
      <text>
        <t>Fishbowl part number required.
Aug 14 call (00:25): "are these the part numbers you've got in Fishbowl?" - Stacy to confirm. The BI report cannot resolve a component to part.id / uom.id without it, so every '????' here blocks the build.</t>
      </text>
    </comment>
    <comment ref="I59" authorId="0" shapeId="0">
      <text>
        <t>Fishbowl part number required.
Aug 14 call (00:25): "are these the part numbers you've got in Fishbowl?" - Stacy to confirm. The BI report cannot resolve a component to part.id / uom.id without it, so every '????' here blocks the build.</t>
      </text>
    </comment>
    <comment ref="Q59" authorId="0" shapeId="0">
      <text>
        <t>Fishbowl part number required.
Aug 14 call (00:25): "are these the part numbers you've got in Fishbowl?" - Stacy to confirm. The BI report cannot resolve a component to part.id / uom.id without it, so every '????' here blocks the build.</t>
      </text>
    </comment>
    <comment ref="AA60" authorId="0" shapeId="0">
      <text>
        <t>Fishbowl part number required.
Aug 14 call (00:25): "are these the part numbers you've got in Fishbowl?" - Stacy to confirm. The BI report cannot resolve a component to part.id / uom.id without it, so every '????' here blocks the build.</t>
      </text>
    </comment>
    <comment ref="A63" authorId="0" shapeId="0">
      <text>
        <t>Fishbowl part number required.
Aug 14 call (00:25): "are these the part numbers you've got in Fishbowl?" - Stacy to confirm. The BI report cannot resolve a component to part.id / uom.id without it, so every '????' here blocks the build.</t>
      </text>
    </comment>
    <comment ref="I63" authorId="0" shapeId="0">
      <text>
        <t>Fishbowl part number required.
Aug 14 call (00:25): "are these the part numbers you've got in Fishbowl?" - Stacy to confirm. The BI report cannot resolve a component to part.id / uom.id without it, so every '????' here blocks the build.</t>
      </text>
    </comment>
    <comment ref="Q63" authorId="0" shapeId="0">
      <text>
        <t>Fishbowl part number required.
Aug 14 call (00:25): "are these the part numbers you've got in Fishbowl?" - Stacy to confirm. The BI report cannot resolve a component to part.id / uom.id without it, so every '????' here blocks the build.</t>
      </text>
    </comment>
    <comment ref="AA64" authorId="0" shapeId="0">
      <text>
        <t>Fishbowl part number required.
Aug 14 call (00:25): "are these the part numbers you've got in Fishbowl?" - Stacy to confirm. The BI report cannot resolve a component to part.id / uom.id without it, so every '????' here blocks the build.</t>
      </text>
    </comment>
    <comment ref="A65" authorId="0" shapeId="0">
      <text>
        <t>Fishbowl part number required.
Aug 14 call (00:25): "are these the part numbers you've got in Fishbowl?" - Stacy to confirm. The BI report cannot resolve a component to part.id / uom.id without it, so every '????' here blocks the build.</t>
      </text>
    </comment>
    <comment ref="I65" authorId="0" shapeId="0">
      <text>
        <t>Fishbowl part number required.
Aug 14 call (00:25): "are these the part numbers you've got in Fishbowl?" - Stacy to confirm. The BI report cannot resolve a component to part.id / uom.id without it, so every '????' here blocks the build.</t>
      </text>
    </comment>
    <comment ref="Q65" authorId="0" shapeId="0">
      <text>
        <t>Fishbowl part number required.
Aug 14 call (00:25): "are these the part numbers you've got in Fishbowl?" - Stacy to confirm. The BI report cannot resolve a component to part.id / uom.id without it, so every '????' here blocks the build.</t>
      </text>
    </comment>
    <comment ref="AA66" authorId="0" shapeId="0">
      <text>
        <t>Fishbowl part number required.
Aug 14 call (00:25): "are these the part numbers you've got in Fishbowl?" - Stacy to confirm. The BI report cannot resolve a component to part.id / uom.id without it, so every '????' here blocks the build.</t>
      </text>
    </comment>
  </commentList>
</comments>
</file>

<file path=xl/comments/comment2.xml><?xml version="1.0" encoding="utf-8"?>
<comments xmlns="http://schemas.openxmlformats.org/spreadsheetml/2006/main">
  <authors>
    <author>Andrew / Claude (Aug 14 call)</author>
  </authors>
  <commentList>
    <comment ref="B2" authorId="0" shapeId="0">
      <text>
        <t>Units added per Aug 14 (00:28): "10 grams per serving, so I should put grams in there." All figures on this sheet read as grams.</t>
      </text>
    </comment>
    <comment ref="A3" authorId="0" shapeId="0">
      <text>
        <t>Premium Fuel Boosts are fixed per-serve amounts, present or absent - no slider.
Aug 14 (00:30): "those ones don't change... they don't incrementally change at all."
Note these sit on the Custom Hydration tab but apply to the Premium Fuel products (00:24: "they're applicable over there, which I probably should have popped them over there").</t>
      </text>
    </comment>
    <comment ref="A7" authorId="0" shapeId="0">
      <text>
        <t>"Nil to Total" gives only the bottom and top of each range. Since every adjustable item is STEPPED, the intermediate steps for this range still need defining - how many steps and at what per-serve values. The Premium Fuel tab has them (electrolytes 3, caffeine 5); this tab does not.</t>
      </text>
    </comment>
    <comment ref="A10" authorId="0" shapeId="0">
      <text>
        <t>ROLL-UP ROW - agreed for removal.
Aug 14 (00:34): "BCAA, and then it's got all those in brackets? Well, that technically is the 3 ingredients below totalling 3 grams... we could probably just delete it."
Check: Leucine 1.5 + Isoleucine 0.75 + Valine 0.75 = 3.00 g - matches, so this row is pure duplication. Left in place, struck through, pending your OK.</t>
      </text>
    </comment>
    <comment ref="A14" authorId="0" shapeId="0">
      <text>
        <t>ROLL-UP ROW - flagged for removal alongside BCAA ("same as the electrolytes", 00:34).
WARNING - the sum does NOT reconcile: Salt 0.671 + Potassium 0.198 + Magnesium 0.35 + Calcium 0.45 = 1.669 g, but this row says 0.949 g. Either the components are the salt forms and this is elemental content, or one of the five figures is wrong. Resolve before deleting - the component rows are what the work order will consume.</t>
      </text>
    </comment>
    <comment ref="A19" authorId="0" shapeId="0">
      <text>
        <t>Caffeine dosing carries an implied 2.0x material factor: 100 mg/serve x 25 serves = 2.5 g of caffeine, but the PF Custom sheet calls for 5 g of RAW-CAFFEINE. The factor is a consistent 2.00 across every step and both batch sizes (25 and 18 serve), so it looks deliberate - either RAW-CAFFEINE is ~50% caffeine by mass, or the mg headings are half the true dose. Confirm which, because the BI report has to hold this factor explicitly.</t>
      </text>
    </comment>
    <comment ref="A24" authorId="0" shapeId="0">
      <text>
        <t>Electrolytes carry a material factor of ~4.89: 400 mg/serve x 25 = 10 g declared -&gt; 49.07 g of RTU-ELECTROLYTE-MIX. Consistent at 4.89-4.91 across all three steps and both batch sizes, i.e. the mix is roughly 20% active. This is the same class of conversion as caffeine and belongs in the report config, not hardcoded.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G110"/>
  <sheetViews>
    <sheetView tabSelected="1" workbookViewId="0">
      <selection activeCell="A9" sqref="A9"/>
    </sheetView>
  </sheetViews>
  <sheetFormatPr baseColWidth="8" defaultColWidth="9.140625" defaultRowHeight="15"/>
  <cols>
    <col width="28.140625" customWidth="1" min="1" max="1"/>
    <col width="22.42578125" bestFit="1" customWidth="1" min="2" max="2"/>
    <col width="12.85546875" bestFit="1" customWidth="1" min="3" max="3"/>
    <col width="10.7109375" bestFit="1" customWidth="1" min="4" max="4"/>
    <col width="12" bestFit="1" customWidth="1" min="5" max="5"/>
    <col width="15.28515625" bestFit="1" customWidth="1" min="6" max="6"/>
    <col width="16.85546875" bestFit="1" customWidth="1" min="7" max="7"/>
    <col width="4.7109375" customWidth="1" style="22" min="8" max="8"/>
    <col hidden="1" width="15.7109375" customWidth="1" style="34" min="9" max="9"/>
    <col hidden="1" width="22.42578125" customWidth="1" style="34" min="10" max="10"/>
    <col hidden="1" width="12.85546875" customWidth="1" style="34" min="11" max="11"/>
    <col hidden="1" width="12.28515625" customWidth="1" style="34" min="12" max="12"/>
    <col hidden="1" width="4.5703125" customWidth="1" style="34" min="13" max="13"/>
    <col hidden="1" width="12.28515625" customWidth="1" style="34" min="14" max="14"/>
    <col hidden="1" width="15" customWidth="1" style="34" min="15" max="15"/>
    <col hidden="1" width="5.140625" customWidth="1" style="34" min="16" max="16"/>
    <col hidden="1" width="15.140625" customWidth="1" style="34" min="17" max="17"/>
    <col hidden="1" width="22.42578125" customWidth="1" style="34" min="18" max="18"/>
    <col hidden="1" width="12.85546875" customWidth="1" style="34" min="19" max="19"/>
    <col hidden="1" width="4.5703125" customWidth="1" style="34" min="20" max="21"/>
    <col hidden="1" width="15" customWidth="1" style="34" min="22" max="23"/>
    <col hidden="1" width="6.140625" customWidth="1" style="34" min="24" max="24"/>
    <col hidden="1" width="16.7109375" customWidth="1" style="34" min="25" max="25"/>
    <col hidden="1" width="22.42578125" customWidth="1" style="34" min="26" max="26"/>
    <col hidden="1" width="22.85546875" customWidth="1" style="34" min="27" max="27"/>
    <col hidden="1" width="4.5703125" customWidth="1" style="34" min="28" max="29"/>
    <col hidden="1" width="15" customWidth="1" style="34" min="30" max="31"/>
    <col hidden="1" width="12.28515625" customWidth="1" min="32" max="32"/>
  </cols>
  <sheetData>
    <row r="1" ht="26.25" customHeight="1">
      <c r="A1" s="83" t="inlineStr">
        <is>
          <t>Premium Fuel Custom Base Recipe for 1 product</t>
        </is>
      </c>
    </row>
    <row r="2" ht="16.5" customHeight="1">
      <c r="A2" s="7" t="n"/>
      <c r="H2" s="28" t="n"/>
    </row>
    <row r="3">
      <c r="B3" s="104" t="inlineStr">
        <is>
          <t>Premium Fuel 75g - 25 Serving in Package</t>
        </is>
      </c>
      <c r="C3" s="105" t="n"/>
      <c r="D3" s="105" t="n"/>
      <c r="E3" s="105" t="n"/>
      <c r="F3" s="105" t="n"/>
      <c r="G3" s="106" t="n"/>
      <c r="H3" s="28" t="n"/>
      <c r="J3" s="107" t="inlineStr">
        <is>
          <t>Premium Fuel 75g - 12 Serving in Package</t>
        </is>
      </c>
      <c r="K3" s="105" t="n"/>
      <c r="L3" s="105" t="n"/>
      <c r="M3" s="105" t="n"/>
      <c r="N3" s="105" t="n"/>
      <c r="O3" s="106" t="n"/>
      <c r="R3" s="108" t="inlineStr">
        <is>
          <t>Premium Fuel 75g - 5 Serving in Package</t>
        </is>
      </c>
      <c r="S3" s="105" t="n"/>
      <c r="T3" s="105" t="n"/>
      <c r="U3" s="105" t="n"/>
      <c r="V3" s="105" t="n"/>
      <c r="W3" s="106" t="n"/>
      <c r="Z3" s="108" t="inlineStr">
        <is>
          <t>Premium Fuel 75g - 24 x SS Serving in Package</t>
        </is>
      </c>
      <c r="AA3" s="105" t="n"/>
      <c r="AB3" s="105" t="n"/>
      <c r="AC3" s="105" t="n"/>
      <c r="AD3" s="105" t="n"/>
      <c r="AE3" s="106" t="n"/>
    </row>
    <row r="4">
      <c r="B4" s="109" t="inlineStr">
        <is>
          <t>Ingredient/mass (g)</t>
        </is>
      </c>
      <c r="C4" s="110" t="inlineStr">
        <is>
          <t>2 Scoops = 78g   Weight approx 1948.25g</t>
        </is>
      </c>
      <c r="D4" s="111" t="n"/>
      <c r="E4" s="111" t="n"/>
      <c r="F4" s="111" t="n"/>
      <c r="G4" s="112" t="n"/>
      <c r="H4" s="28" t="n"/>
      <c r="J4" s="43" t="inlineStr">
        <is>
          <t>Ingredient/mass (g)</t>
        </is>
      </c>
      <c r="K4" s="113" t="n"/>
      <c r="L4" s="111" t="n"/>
      <c r="M4" s="111" t="n"/>
      <c r="N4" s="111" t="n"/>
      <c r="O4" s="112" t="n"/>
      <c r="R4" s="43" t="inlineStr">
        <is>
          <t>Ingredient/mass (g)</t>
        </is>
      </c>
      <c r="S4" s="87" t="n"/>
      <c r="T4" s="88" t="n"/>
      <c r="U4" s="88" t="n"/>
      <c r="V4" s="88" t="n"/>
      <c r="W4" s="89" t="n"/>
      <c r="Z4" s="43" t="inlineStr">
        <is>
          <t>Ingredient/mass (g)</t>
        </is>
      </c>
      <c r="AA4" s="87" t="n"/>
      <c r="AB4" s="88" t="n"/>
      <c r="AC4" s="88" t="n"/>
      <c r="AD4" s="88" t="n"/>
      <c r="AE4" s="89" t="n"/>
    </row>
    <row r="5">
      <c r="A5" s="13" t="inlineStr">
        <is>
          <t>Base Ingredients</t>
        </is>
      </c>
      <c r="B5" s="18" t="inlineStr">
        <is>
          <t>Maltodextrin</t>
        </is>
      </c>
      <c r="C5" s="95" t="inlineStr">
        <is>
          <t>1127.57g</t>
        </is>
      </c>
      <c r="D5" s="114" t="n"/>
      <c r="E5" s="114" t="n"/>
      <c r="F5" s="114" t="n"/>
      <c r="G5" s="115" t="n"/>
      <c r="H5" s="28" t="n"/>
      <c r="I5" s="34" t="inlineStr">
        <is>
          <t>Base Ingredients</t>
        </is>
      </c>
      <c r="J5" s="47" t="inlineStr">
        <is>
          <t>Maltodextrin</t>
        </is>
      </c>
      <c r="K5" s="90" t="n"/>
      <c r="L5" s="114" t="n"/>
      <c r="M5" s="114" t="n"/>
      <c r="N5" s="114" t="n"/>
      <c r="O5" s="115" t="n"/>
      <c r="Q5" s="34" t="inlineStr">
        <is>
          <t>Base Ingredients</t>
        </is>
      </c>
      <c r="R5" s="47" t="inlineStr">
        <is>
          <t>Maltodextrin</t>
        </is>
      </c>
      <c r="S5" s="90" t="n"/>
      <c r="T5" s="90" t="n"/>
      <c r="U5" s="90" t="n"/>
      <c r="V5" s="90" t="n"/>
      <c r="W5" s="90" t="n"/>
      <c r="Y5" s="34" t="inlineStr">
        <is>
          <t>Base Ingredients</t>
        </is>
      </c>
      <c r="Z5" s="47" t="inlineStr">
        <is>
          <t>Maltodextrin</t>
        </is>
      </c>
      <c r="AA5" s="90" t="n"/>
      <c r="AB5" s="90" t="n"/>
      <c r="AC5" s="90" t="n"/>
      <c r="AD5" s="90" t="n"/>
      <c r="AE5" s="90" t="n"/>
    </row>
    <row r="6">
      <c r="B6" s="18" t="inlineStr">
        <is>
          <t xml:space="preserve">Fructose </t>
        </is>
      </c>
      <c r="C6" s="66" t="inlineStr">
        <is>
          <t>500g</t>
        </is>
      </c>
      <c r="D6" s="114" t="n"/>
      <c r="E6" s="114" t="n"/>
      <c r="F6" s="114" t="n"/>
      <c r="G6" s="115" t="n"/>
      <c r="H6" s="28" t="n"/>
      <c r="J6" s="47" t="inlineStr">
        <is>
          <t xml:space="preserve">Fructose </t>
        </is>
      </c>
      <c r="K6" s="91" t="n"/>
      <c r="L6" s="114" t="n"/>
      <c r="M6" s="114" t="n"/>
      <c r="N6" s="114" t="n"/>
      <c r="O6" s="115" t="n"/>
      <c r="R6" s="47" t="inlineStr">
        <is>
          <t xml:space="preserve">Fructose </t>
        </is>
      </c>
      <c r="S6" s="91" t="n"/>
      <c r="T6" s="91" t="n"/>
      <c r="U6" s="91" t="n"/>
      <c r="V6" s="91" t="n"/>
      <c r="W6" s="91" t="n"/>
      <c r="Z6" s="47" t="inlineStr">
        <is>
          <t xml:space="preserve">Fructose </t>
        </is>
      </c>
      <c r="AA6" s="91" t="n"/>
      <c r="AB6" s="91" t="n"/>
      <c r="AC6" s="91" t="n"/>
      <c r="AD6" s="91" t="n"/>
      <c r="AE6" s="91" t="n"/>
    </row>
    <row r="7">
      <c r="B7" s="18" t="inlineStr">
        <is>
          <t>Dextrose</t>
        </is>
      </c>
      <c r="C7" s="96" t="inlineStr">
        <is>
          <t>12.43g</t>
        </is>
      </c>
      <c r="D7" s="114" t="n"/>
      <c r="E7" s="114" t="n"/>
      <c r="F7" s="114" t="n"/>
      <c r="G7" s="115" t="n"/>
      <c r="H7" s="28" t="n"/>
      <c r="J7" s="47" t="inlineStr">
        <is>
          <t>Dextrose</t>
        </is>
      </c>
      <c r="K7" s="92" t="n"/>
      <c r="L7" s="114" t="n"/>
      <c r="M7" s="114" t="n"/>
      <c r="N7" s="114" t="n"/>
      <c r="O7" s="115" t="n"/>
      <c r="R7" s="47" t="inlineStr">
        <is>
          <t>Dextrose</t>
        </is>
      </c>
      <c r="S7" s="92" t="n"/>
      <c r="T7" s="92" t="n"/>
      <c r="U7" s="92" t="n"/>
      <c r="V7" s="92" t="n"/>
      <c r="W7" s="92" t="n"/>
      <c r="Z7" s="47" t="inlineStr">
        <is>
          <t>Dextrose</t>
        </is>
      </c>
      <c r="AA7" s="92" t="n"/>
      <c r="AB7" s="92" t="n"/>
      <c r="AC7" s="92" t="n"/>
      <c r="AD7" s="92" t="n"/>
      <c r="AE7" s="92" t="n"/>
    </row>
    <row r="8">
      <c r="A8" t="inlineStr">
        <is>
          <t>Variable</t>
        </is>
      </c>
      <c r="B8" s="15" t="n"/>
      <c r="C8" s="25" t="n"/>
      <c r="D8" s="25" t="n"/>
      <c r="E8" s="25" t="n"/>
      <c r="F8" s="25" t="n"/>
      <c r="G8" s="25" t="n"/>
      <c r="H8" s="28" t="n"/>
      <c r="I8" s="34" t="inlineStr">
        <is>
          <t>Variable</t>
        </is>
      </c>
      <c r="J8" s="38" t="n"/>
      <c r="K8" s="36" t="inlineStr">
        <is>
          <t xml:space="preserve">Light </t>
        </is>
      </c>
      <c r="L8" s="36" t="n"/>
      <c r="M8" s="36" t="inlineStr">
        <is>
          <t>Mid</t>
        </is>
      </c>
      <c r="N8" s="36" t="n"/>
      <c r="O8" s="36" t="inlineStr">
        <is>
          <t>Strong</t>
        </is>
      </c>
      <c r="Q8" s="34" t="inlineStr">
        <is>
          <t>Variable</t>
        </is>
      </c>
      <c r="R8" s="38" t="n"/>
      <c r="S8" s="36" t="inlineStr">
        <is>
          <t xml:space="preserve">Light </t>
        </is>
      </c>
      <c r="T8" s="36" t="n"/>
      <c r="U8" s="36" t="inlineStr">
        <is>
          <t>Mid</t>
        </is>
      </c>
      <c r="V8" s="36" t="n"/>
      <c r="W8" s="36" t="inlineStr">
        <is>
          <t>Strong</t>
        </is>
      </c>
      <c r="Z8" s="38" t="n"/>
      <c r="AA8" s="36" t="inlineStr">
        <is>
          <t xml:space="preserve">Light </t>
        </is>
      </c>
      <c r="AB8" s="36" t="n"/>
      <c r="AC8" s="36" t="inlineStr">
        <is>
          <t>Mid</t>
        </is>
      </c>
      <c r="AD8" s="36" t="n"/>
      <c r="AE8" s="36" t="inlineStr">
        <is>
          <t>Strong</t>
        </is>
      </c>
    </row>
    <row r="9">
      <c r="A9" s="23" t="inlineStr">
        <is>
          <t xml:space="preserve">FLV -RTU- </t>
        </is>
      </c>
      <c r="B9" s="16" t="inlineStr">
        <is>
          <t>Flavour RTU</t>
        </is>
      </c>
      <c r="C9" s="30" t="n"/>
      <c r="D9" s="31" t="n"/>
      <c r="E9" s="60" t="inlineStr">
        <is>
          <t xml:space="preserve">253.25g </t>
        </is>
      </c>
      <c r="F9" s="31" t="n"/>
      <c r="G9" s="31" t="n"/>
      <c r="H9" s="28" t="n"/>
      <c r="I9" s="35" t="inlineStr">
        <is>
          <t xml:space="preserve">FLV -RTU- </t>
        </is>
      </c>
      <c r="J9" s="35" t="inlineStr">
        <is>
          <t>Flavour RTU</t>
        </is>
      </c>
      <c r="K9" s="51" t="inlineStr">
        <is>
          <t xml:space="preserve">253.25g </t>
        </is>
      </c>
      <c r="L9" s="52" t="n"/>
      <c r="M9" s="52" t="n"/>
      <c r="N9" s="52" t="n"/>
      <c r="O9" s="52" t="n"/>
      <c r="Q9" s="35" t="inlineStr">
        <is>
          <t xml:space="preserve">FLV -RTU- </t>
        </is>
      </c>
      <c r="R9" s="35" t="inlineStr">
        <is>
          <t>Flavour RTU</t>
        </is>
      </c>
      <c r="S9" s="51" t="inlineStr">
        <is>
          <t xml:space="preserve">253.25g </t>
        </is>
      </c>
      <c r="T9" s="52" t="n"/>
      <c r="U9" s="52" t="n"/>
      <c r="V9" s="52" t="n"/>
      <c r="W9" s="52" t="n"/>
      <c r="Y9" s="34" t="inlineStr">
        <is>
          <t>Variable</t>
        </is>
      </c>
      <c r="Z9" s="35" t="inlineStr">
        <is>
          <t>Flavour RTU</t>
        </is>
      </c>
      <c r="AA9" s="51" t="n"/>
      <c r="AB9" s="52" t="n"/>
      <c r="AC9" s="52" t="n"/>
      <c r="AD9" s="52" t="n"/>
      <c r="AE9" s="52" t="n"/>
    </row>
    <row r="10">
      <c r="B10" s="15" t="inlineStr">
        <is>
          <t>Options</t>
        </is>
      </c>
      <c r="C10" s="84" t="inlineStr">
        <is>
          <t>BAN , CHOC , ORG , LLM , GRP , WMN , CRM , RASP</t>
        </is>
      </c>
      <c r="H10" s="28" t="n"/>
      <c r="J10" s="38" t="inlineStr">
        <is>
          <t>Options</t>
        </is>
      </c>
      <c r="K10" s="76" t="inlineStr">
        <is>
          <t>BAN , CHOC , ORG , LLM , GRP , WMN , CRM , RASP</t>
        </is>
      </c>
      <c r="R10" s="38" t="inlineStr">
        <is>
          <t>Options</t>
        </is>
      </c>
      <c r="S10" s="76" t="inlineStr">
        <is>
          <t>BAN , CHOC , ORG , LLM , GRP , WMN , CRM , RASP</t>
        </is>
      </c>
      <c r="Z10" s="35" t="inlineStr">
        <is>
          <t xml:space="preserve">FLV -RTU- </t>
        </is>
      </c>
      <c r="AA10" s="76" t="inlineStr">
        <is>
          <t>BAN , CHOC , ORG , LLM , GRP , WMN , CRM , RASP</t>
        </is>
      </c>
      <c r="AB10" s="76" t="n"/>
      <c r="AC10" s="76" t="n"/>
      <c r="AD10" s="76" t="n"/>
      <c r="AE10" s="76" t="n"/>
    </row>
    <row r="11" hidden="1" customFormat="1" s="34">
      <c r="A11" s="34" t="inlineStr">
        <is>
          <t>Optional</t>
        </is>
      </c>
      <c r="B11" s="35" t="n"/>
      <c r="C11" s="36" t="inlineStr">
        <is>
          <t>Low</t>
        </is>
      </c>
      <c r="D11" s="36" t="n"/>
      <c r="E11" s="36" t="inlineStr">
        <is>
          <t>Mid</t>
        </is>
      </c>
      <c r="F11" s="36" t="n"/>
      <c r="G11" s="36" t="inlineStr">
        <is>
          <t>High</t>
        </is>
      </c>
      <c r="H11" s="37" t="n"/>
      <c r="I11" s="34" t="inlineStr">
        <is>
          <t>Optional</t>
        </is>
      </c>
      <c r="J11" s="35" t="n"/>
      <c r="K11" s="36" t="inlineStr">
        <is>
          <t>Low</t>
        </is>
      </c>
      <c r="L11" s="36" t="n"/>
      <c r="M11" s="36" t="inlineStr">
        <is>
          <t>Mid</t>
        </is>
      </c>
      <c r="N11" s="36" t="n"/>
      <c r="O11" s="36" t="inlineStr">
        <is>
          <t>High</t>
        </is>
      </c>
      <c r="Q11" s="34" t="inlineStr">
        <is>
          <t>Optional</t>
        </is>
      </c>
      <c r="R11" s="35" t="n"/>
      <c r="S11" s="36" t="inlineStr">
        <is>
          <t>Low</t>
        </is>
      </c>
      <c r="T11" s="36" t="n"/>
      <c r="U11" s="36" t="inlineStr">
        <is>
          <t>Mid</t>
        </is>
      </c>
      <c r="V11" s="36" t="n"/>
      <c r="W11" s="36" t="inlineStr">
        <is>
          <t>High</t>
        </is>
      </c>
      <c r="Z11" s="35" t="n"/>
      <c r="AA11" s="36" t="inlineStr">
        <is>
          <t>Low</t>
        </is>
      </c>
      <c r="AB11" s="36" t="n"/>
      <c r="AC11" s="36" t="inlineStr">
        <is>
          <t>Mid</t>
        </is>
      </c>
      <c r="AD11" s="36" t="n"/>
      <c r="AE11" s="36" t="inlineStr">
        <is>
          <t>High</t>
        </is>
      </c>
    </row>
    <row r="12" hidden="1" customFormat="1" s="34">
      <c r="A12" s="116" t="inlineStr">
        <is>
          <t>????</t>
        </is>
      </c>
      <c r="B12" s="38" t="inlineStr">
        <is>
          <t>Calories</t>
        </is>
      </c>
      <c r="C12" s="39" t="n"/>
      <c r="D12" s="40" t="n"/>
      <c r="E12" s="40" t="n"/>
      <c r="F12" s="40" t="n"/>
      <c r="G12" s="40" t="n"/>
      <c r="H12" s="37" t="n"/>
      <c r="I12" s="116" t="inlineStr">
        <is>
          <t>????</t>
        </is>
      </c>
      <c r="J12" s="38" t="inlineStr">
        <is>
          <t>Calories</t>
        </is>
      </c>
      <c r="K12" s="39" t="n"/>
      <c r="L12" s="40" t="n"/>
      <c r="M12" s="40" t="n"/>
      <c r="N12" s="40" t="n"/>
      <c r="O12" s="40" t="n"/>
      <c r="Q12" s="116" t="inlineStr">
        <is>
          <t>????</t>
        </is>
      </c>
      <c r="R12" s="38" t="inlineStr">
        <is>
          <t>Calories</t>
        </is>
      </c>
      <c r="S12" s="39" t="n"/>
      <c r="T12" s="40" t="n"/>
      <c r="U12" s="40" t="n"/>
      <c r="V12" s="40" t="n"/>
      <c r="W12" s="40" t="n"/>
      <c r="Y12" s="34" t="inlineStr">
        <is>
          <t xml:space="preserve">Optional </t>
        </is>
      </c>
      <c r="Z12" s="38" t="inlineStr">
        <is>
          <t>Calories</t>
        </is>
      </c>
      <c r="AA12" s="39" t="n"/>
      <c r="AB12" s="40" t="n"/>
      <c r="AC12" s="40" t="n"/>
      <c r="AD12" s="40" t="n"/>
      <c r="AE12" s="40" t="n"/>
    </row>
    <row r="13" hidden="1" customFormat="1" s="34">
      <c r="A13" s="38" t="n"/>
      <c r="B13" s="38" t="n"/>
      <c r="C13" s="39" t="inlineStr">
        <is>
          <t xml:space="preserve">Simple Carbs </t>
        </is>
      </c>
      <c r="D13" s="40" t="n"/>
      <c r="E13" s="40" t="n"/>
      <c r="F13" s="40" t="n"/>
      <c r="G13" s="40" t="inlineStr">
        <is>
          <t>Complex Carbs</t>
        </is>
      </c>
      <c r="H13" s="37" t="n"/>
      <c r="I13" s="38" t="n"/>
      <c r="J13" s="38" t="n"/>
      <c r="K13" s="39" t="inlineStr">
        <is>
          <t xml:space="preserve">Simple Carbs </t>
        </is>
      </c>
      <c r="L13" s="40" t="n"/>
      <c r="M13" s="40" t="n"/>
      <c r="N13" s="40" t="n"/>
      <c r="O13" s="40" t="inlineStr">
        <is>
          <t>Complex Carbs</t>
        </is>
      </c>
      <c r="Q13" s="38" t="n"/>
      <c r="R13" s="38" t="n"/>
      <c r="S13" s="39" t="inlineStr">
        <is>
          <t xml:space="preserve">Simple Carbs </t>
        </is>
      </c>
      <c r="T13" s="40" t="n"/>
      <c r="U13" s="40" t="n"/>
      <c r="V13" s="40" t="n"/>
      <c r="W13" s="40" t="inlineStr">
        <is>
          <t>Complex Carbs</t>
        </is>
      </c>
      <c r="Z13" s="116" t="inlineStr">
        <is>
          <t>????</t>
        </is>
      </c>
      <c r="AA13" s="39" t="inlineStr">
        <is>
          <t xml:space="preserve">Simple Carbs </t>
        </is>
      </c>
      <c r="AB13" s="40" t="n"/>
      <c r="AC13" s="40" t="n"/>
      <c r="AD13" s="40" t="n"/>
      <c r="AE13" s="40" t="inlineStr">
        <is>
          <t>Complex Carbs</t>
        </is>
      </c>
    </row>
    <row r="14" hidden="1" customFormat="1" s="34">
      <c r="A14" s="116" t="inlineStr">
        <is>
          <t>????</t>
        </is>
      </c>
      <c r="B14" s="38" t="inlineStr">
        <is>
          <t xml:space="preserve">Carbohydrate Blend </t>
        </is>
      </c>
      <c r="C14" s="39" t="n"/>
      <c r="D14" s="41" t="n"/>
      <c r="E14" s="41" t="n"/>
      <c r="F14" s="41" t="n"/>
      <c r="G14" s="41" t="n"/>
      <c r="H14" s="37" t="n"/>
      <c r="I14" s="116" t="inlineStr">
        <is>
          <t>????</t>
        </is>
      </c>
      <c r="J14" s="38" t="inlineStr">
        <is>
          <t xml:space="preserve">Carbohydrate Blend </t>
        </is>
      </c>
      <c r="K14" s="39" t="n"/>
      <c r="L14" s="41" t="n"/>
      <c r="M14" s="41" t="n"/>
      <c r="N14" s="41" t="n"/>
      <c r="O14" s="41" t="n"/>
      <c r="Q14" s="116" t="inlineStr">
        <is>
          <t>????</t>
        </is>
      </c>
      <c r="R14" s="38" t="inlineStr">
        <is>
          <t xml:space="preserve">Carbohydrate Blend </t>
        </is>
      </c>
      <c r="S14" s="39" t="n"/>
      <c r="T14" s="41" t="n"/>
      <c r="U14" s="41" t="n"/>
      <c r="V14" s="41" t="n"/>
      <c r="W14" s="41" t="n"/>
      <c r="Z14" s="38" t="inlineStr">
        <is>
          <t xml:space="preserve">Carbohydrate Blend </t>
        </is>
      </c>
      <c r="AA14" s="39" t="n"/>
      <c r="AB14" s="41" t="n"/>
      <c r="AC14" s="41" t="n"/>
      <c r="AD14" s="41" t="n"/>
      <c r="AE14" s="41" t="n"/>
    </row>
    <row r="15">
      <c r="A15" s="15" t="n"/>
      <c r="B15" s="15" t="n"/>
      <c r="C15" s="26" t="inlineStr">
        <is>
          <t>Low</t>
        </is>
      </c>
      <c r="D15" s="26" t="n"/>
      <c r="E15" s="26" t="inlineStr">
        <is>
          <t>Mid</t>
        </is>
      </c>
      <c r="F15" s="26" t="n"/>
      <c r="G15" s="26" t="inlineStr">
        <is>
          <t>High</t>
        </is>
      </c>
      <c r="H15" s="28" t="n"/>
      <c r="I15" s="38" t="n"/>
      <c r="J15" s="38" t="n"/>
      <c r="K15" s="40" t="inlineStr">
        <is>
          <t>Low</t>
        </is>
      </c>
      <c r="L15" s="40" t="n"/>
      <c r="M15" s="40" t="inlineStr">
        <is>
          <t>Mid</t>
        </is>
      </c>
      <c r="N15" s="40" t="n"/>
      <c r="O15" s="40" t="inlineStr">
        <is>
          <t>High</t>
        </is>
      </c>
      <c r="Q15" s="38" t="n"/>
      <c r="R15" s="38" t="n"/>
      <c r="S15" s="40" t="inlineStr">
        <is>
          <t>Low</t>
        </is>
      </c>
      <c r="T15" s="40" t="n"/>
      <c r="U15" s="40" t="inlineStr">
        <is>
          <t>Mid</t>
        </is>
      </c>
      <c r="V15" s="40" t="n"/>
      <c r="W15" s="40" t="inlineStr">
        <is>
          <t>High</t>
        </is>
      </c>
      <c r="Z15" s="117" t="inlineStr">
        <is>
          <t>????</t>
        </is>
      </c>
      <c r="AA15" s="40" t="inlineStr">
        <is>
          <t>Low</t>
        </is>
      </c>
      <c r="AB15" s="40" t="n"/>
      <c r="AC15" s="40" t="inlineStr">
        <is>
          <t>Mid</t>
        </is>
      </c>
      <c r="AD15" s="40" t="n"/>
      <c r="AE15" s="40" t="inlineStr">
        <is>
          <t>High</t>
        </is>
      </c>
    </row>
    <row r="16">
      <c r="A16" s="24" t="inlineStr">
        <is>
          <t>RTU-ELECTROLYTE-MIX</t>
        </is>
      </c>
      <c r="B16" s="19" t="inlineStr">
        <is>
          <t>Electrolytes</t>
        </is>
      </c>
      <c r="C16" s="33" t="n">
        <v>49.07</v>
      </c>
      <c r="D16" s="33" t="n"/>
      <c r="E16" s="33" t="n">
        <v>61.14</v>
      </c>
      <c r="F16" s="33" t="n"/>
      <c r="G16" s="33" t="n">
        <v>122.28</v>
      </c>
      <c r="H16" s="28" t="n"/>
      <c r="I16" s="42" t="inlineStr">
        <is>
          <t>RTU-ELECTROLYTE-MIX</t>
        </is>
      </c>
      <c r="J16" s="42" t="inlineStr">
        <is>
          <t>Electrolytes</t>
        </is>
      </c>
      <c r="K16" s="41" t="n"/>
      <c r="L16" s="41" t="n"/>
      <c r="M16" s="41" t="n"/>
      <c r="N16" s="41" t="n"/>
      <c r="O16" s="41" t="n"/>
      <c r="Q16" s="42" t="inlineStr">
        <is>
          <t>RTU-ELECTROLYTE-MIX</t>
        </is>
      </c>
      <c r="R16" s="42" t="inlineStr">
        <is>
          <t>Electrolytes</t>
        </is>
      </c>
      <c r="S16" s="41" t="n"/>
      <c r="T16" s="41" t="n"/>
      <c r="U16" s="41" t="n"/>
      <c r="V16" s="41" t="n"/>
      <c r="W16" s="41" t="n"/>
      <c r="Z16" s="42" t="inlineStr">
        <is>
          <t>Electrolytes</t>
        </is>
      </c>
      <c r="AA16" s="41" t="n"/>
      <c r="AB16" s="41" t="n"/>
      <c r="AC16" s="41" t="n"/>
      <c r="AD16" s="41" t="n"/>
      <c r="AE16" s="41" t="n"/>
    </row>
    <row r="17" hidden="1" customFormat="1" s="34">
      <c r="B17" s="42" t="n"/>
      <c r="C17" s="40" t="inlineStr">
        <is>
          <t>None</t>
        </is>
      </c>
      <c r="D17" s="40" t="n"/>
      <c r="E17" s="40" t="n"/>
      <c r="F17" s="40" t="n"/>
      <c r="G17" s="40" t="inlineStr">
        <is>
          <t>10g</t>
        </is>
      </c>
      <c r="H17" s="37" t="n"/>
      <c r="J17" s="42" t="n"/>
      <c r="K17" s="40" t="inlineStr">
        <is>
          <t>None</t>
        </is>
      </c>
      <c r="L17" s="40" t="n"/>
      <c r="M17" s="40" t="n"/>
      <c r="N17" s="40" t="n"/>
      <c r="O17" s="40" t="inlineStr">
        <is>
          <t>10g</t>
        </is>
      </c>
      <c r="R17" s="42" t="n"/>
      <c r="S17" s="40" t="inlineStr">
        <is>
          <t>None</t>
        </is>
      </c>
      <c r="T17" s="40" t="n"/>
      <c r="U17" s="40" t="n"/>
      <c r="V17" s="40" t="n"/>
      <c r="W17" s="40" t="inlineStr">
        <is>
          <t>10g</t>
        </is>
      </c>
      <c r="Z17" s="42" t="inlineStr">
        <is>
          <t>RTU-ELECTROLYTE-MIX</t>
        </is>
      </c>
      <c r="AA17" s="40" t="n"/>
      <c r="AB17" s="40" t="n"/>
      <c r="AC17" s="40" t="n"/>
      <c r="AD17" s="40" t="n"/>
      <c r="AE17" s="40" t="n"/>
    </row>
    <row r="18" hidden="1" customFormat="1" s="34">
      <c r="A18" s="116" t="inlineStr">
        <is>
          <t>????</t>
        </is>
      </c>
      <c r="B18" s="42" t="inlineStr">
        <is>
          <t>Protein</t>
        </is>
      </c>
      <c r="C18" s="41" t="n"/>
      <c r="D18" s="41" t="n"/>
      <c r="E18" s="41" t="n"/>
      <c r="F18" s="41" t="n"/>
      <c r="G18" s="41" t="n"/>
      <c r="H18" s="37" t="n"/>
      <c r="I18" s="116" t="inlineStr">
        <is>
          <t>????</t>
        </is>
      </c>
      <c r="J18" s="42" t="inlineStr">
        <is>
          <t>Protein</t>
        </is>
      </c>
      <c r="K18" s="41" t="n"/>
      <c r="L18" s="41" t="n"/>
      <c r="M18" s="41" t="n"/>
      <c r="N18" s="41" t="n"/>
      <c r="O18" s="41" t="n"/>
      <c r="Q18" s="116" t="inlineStr">
        <is>
          <t>????</t>
        </is>
      </c>
      <c r="R18" s="42" t="inlineStr">
        <is>
          <t>Protein</t>
        </is>
      </c>
      <c r="S18" s="41" t="n"/>
      <c r="T18" s="41" t="n"/>
      <c r="U18" s="41" t="n"/>
      <c r="V18" s="41" t="n"/>
      <c r="W18" s="41" t="n"/>
      <c r="Z18" s="42" t="inlineStr">
        <is>
          <t>Protein</t>
        </is>
      </c>
      <c r="AA18" s="40" t="inlineStr">
        <is>
          <t>None</t>
        </is>
      </c>
      <c r="AB18" s="40" t="n"/>
      <c r="AC18" s="40" t="n"/>
      <c r="AD18" s="40" t="n"/>
      <c r="AE18" s="40" t="inlineStr">
        <is>
          <t>10g</t>
        </is>
      </c>
    </row>
    <row r="19" hidden="1" customFormat="1" s="34">
      <c r="C19" s="40" t="inlineStr">
        <is>
          <t>None</t>
        </is>
      </c>
      <c r="D19" s="40" t="n"/>
      <c r="E19" s="40" t="n"/>
      <c r="F19" s="40" t="n"/>
      <c r="G19" s="40" t="inlineStr">
        <is>
          <t>3g per serving</t>
        </is>
      </c>
      <c r="H19" s="37" t="n"/>
      <c r="K19" s="40" t="inlineStr">
        <is>
          <t>None</t>
        </is>
      </c>
      <c r="L19" s="40" t="n"/>
      <c r="M19" s="40" t="n"/>
      <c r="N19" s="40" t="n"/>
      <c r="O19" s="40" t="inlineStr">
        <is>
          <t>3g per serving</t>
        </is>
      </c>
      <c r="S19" s="40" t="inlineStr">
        <is>
          <t>None</t>
        </is>
      </c>
      <c r="T19" s="40" t="n"/>
      <c r="U19" s="40" t="n"/>
      <c r="V19" s="40" t="n"/>
      <c r="W19" s="40" t="inlineStr">
        <is>
          <t>3g per serving</t>
        </is>
      </c>
      <c r="Z19" s="117" t="inlineStr">
        <is>
          <t>????</t>
        </is>
      </c>
      <c r="AA19" s="41" t="n"/>
      <c r="AB19" s="41" t="n"/>
      <c r="AC19" s="41" t="n"/>
      <c r="AD19" s="41" t="n"/>
      <c r="AE19" s="41" t="n"/>
    </row>
    <row r="20" hidden="1" customFormat="1" s="34">
      <c r="A20" s="116" t="inlineStr">
        <is>
          <t>????</t>
        </is>
      </c>
      <c r="B20" s="42" t="inlineStr">
        <is>
          <t>BCAA's</t>
        </is>
      </c>
      <c r="C20" s="40" t="n"/>
      <c r="D20" s="40" t="n"/>
      <c r="E20" s="40" t="n"/>
      <c r="F20" s="40" t="n"/>
      <c r="G20" s="40" t="n"/>
      <c r="H20" s="37" t="n"/>
      <c r="I20" s="116" t="inlineStr">
        <is>
          <t>????</t>
        </is>
      </c>
      <c r="J20" s="42" t="inlineStr">
        <is>
          <t>BCAA's</t>
        </is>
      </c>
      <c r="K20" s="40" t="n"/>
      <c r="L20" s="40" t="n"/>
      <c r="M20" s="40" t="n"/>
      <c r="N20" s="40" t="n"/>
      <c r="O20" s="40" t="n"/>
      <c r="Q20" s="116" t="inlineStr">
        <is>
          <t>????</t>
        </is>
      </c>
      <c r="R20" s="42" t="inlineStr">
        <is>
          <t>BCAA's</t>
        </is>
      </c>
      <c r="S20" s="40" t="n"/>
      <c r="T20" s="40" t="n"/>
      <c r="U20" s="40" t="n"/>
      <c r="V20" s="40" t="n"/>
      <c r="W20" s="40" t="n"/>
      <c r="Z20" s="42" t="inlineStr">
        <is>
          <t>BCAA's</t>
        </is>
      </c>
      <c r="AA20" s="40" t="inlineStr">
        <is>
          <t>None</t>
        </is>
      </c>
      <c r="AB20" s="40" t="n"/>
      <c r="AC20" s="40" t="n"/>
      <c r="AD20" s="40" t="n"/>
      <c r="AE20" s="40" t="inlineStr">
        <is>
          <t>3g per serving</t>
        </is>
      </c>
    </row>
    <row r="21">
      <c r="C21" s="26" t="inlineStr">
        <is>
          <t>None</t>
        </is>
      </c>
      <c r="D21" s="26" t="n">
        <v>25</v>
      </c>
      <c r="E21" s="26" t="n">
        <v>50</v>
      </c>
      <c r="F21" s="26" t="n">
        <v>75</v>
      </c>
      <c r="G21" s="26" t="inlineStr">
        <is>
          <t>100mg per serving</t>
        </is>
      </c>
      <c r="H21" s="28" t="n"/>
      <c r="K21" s="118" t="inlineStr">
        <is>
          <t>None</t>
        </is>
      </c>
      <c r="L21" s="40" t="n"/>
      <c r="M21" s="40" t="n"/>
      <c r="N21" s="40" t="n"/>
      <c r="O21" s="40" t="inlineStr">
        <is>
          <t>200mg per serving</t>
        </is>
      </c>
      <c r="S21" s="40" t="inlineStr">
        <is>
          <t>None</t>
        </is>
      </c>
      <c r="T21" s="40" t="n"/>
      <c r="U21" s="40" t="n"/>
      <c r="V21" s="40" t="n"/>
      <c r="W21" s="40" t="inlineStr">
        <is>
          <t>200mg per serving</t>
        </is>
      </c>
      <c r="Z21" s="117" t="inlineStr">
        <is>
          <t>????</t>
        </is>
      </c>
      <c r="AA21" s="40" t="n"/>
      <c r="AB21" s="40" t="n"/>
      <c r="AC21" s="40" t="n"/>
      <c r="AD21" s="40" t="n"/>
      <c r="AE21" s="40" t="n"/>
    </row>
    <row r="22">
      <c r="A22" s="24" t="inlineStr">
        <is>
          <t>RAW-CAFFEINE</t>
        </is>
      </c>
      <c r="B22" s="19" t="inlineStr">
        <is>
          <t>Caffeine</t>
        </is>
      </c>
      <c r="C22" s="32" t="n">
        <v>0</v>
      </c>
      <c r="D22" s="32" t="n">
        <v>1.3</v>
      </c>
      <c r="E22" s="32" t="n">
        <v>2.5</v>
      </c>
      <c r="F22" s="32" t="n">
        <v>3.8</v>
      </c>
      <c r="G22" s="32" t="n">
        <v>5</v>
      </c>
      <c r="H22" s="28" t="n"/>
      <c r="I22" s="42" t="inlineStr">
        <is>
          <t>RAW-CAFFEINE</t>
        </is>
      </c>
      <c r="J22" s="42" t="inlineStr">
        <is>
          <t>Caffeine</t>
        </is>
      </c>
      <c r="K22" s="40" t="n"/>
      <c r="L22" s="40" t="n"/>
      <c r="M22" s="40" t="n"/>
      <c r="N22" s="40" t="n"/>
      <c r="O22" s="40" t="n"/>
      <c r="Q22" s="42" t="inlineStr">
        <is>
          <t>RAW-CAFFEINE</t>
        </is>
      </c>
      <c r="R22" s="42" t="inlineStr">
        <is>
          <t>Caffeine</t>
        </is>
      </c>
      <c r="S22" s="40" t="n"/>
      <c r="T22" s="40" t="n"/>
      <c r="U22" s="40" t="n"/>
      <c r="V22" s="40" t="n"/>
      <c r="W22" s="40" t="n"/>
      <c r="Z22" s="42" t="inlineStr">
        <is>
          <t>Caffeine</t>
        </is>
      </c>
      <c r="AA22" s="40" t="inlineStr">
        <is>
          <t>None</t>
        </is>
      </c>
      <c r="AB22" s="40" t="n"/>
      <c r="AC22" s="40" t="n"/>
      <c r="AD22" s="40" t="n"/>
      <c r="AE22" s="40" t="inlineStr">
        <is>
          <t>200mg per serving</t>
        </is>
      </c>
    </row>
    <row r="23">
      <c r="B23" s="19" t="n"/>
      <c r="C23" s="21" t="n"/>
      <c r="D23" s="21" t="n"/>
      <c r="E23" s="21" t="n"/>
      <c r="F23" s="21" t="n"/>
      <c r="G23" s="21" t="n"/>
      <c r="H23" s="28" t="n"/>
      <c r="J23" s="42" t="inlineStr">
        <is>
          <t>RAW-CAFFEINE</t>
        </is>
      </c>
      <c r="K23" s="41" t="n"/>
      <c r="L23" s="41" t="n"/>
      <c r="M23" s="41" t="n"/>
      <c r="N23" s="41" t="n"/>
      <c r="O23" s="41" t="n"/>
      <c r="R23" s="42" t="inlineStr">
        <is>
          <t>RAW-CAFFEINE</t>
        </is>
      </c>
      <c r="S23" s="41" t="n"/>
      <c r="T23" s="41" t="n"/>
      <c r="U23" s="41" t="n"/>
      <c r="V23" s="41" t="n"/>
      <c r="W23" s="41" t="n"/>
      <c r="Z23" s="42" t="inlineStr">
        <is>
          <t>RAW-CAFFEINE</t>
        </is>
      </c>
      <c r="AA23" s="41" t="n"/>
      <c r="AB23" s="41" t="n"/>
      <c r="AC23" s="41" t="n"/>
      <c r="AD23" s="41" t="n"/>
      <c r="AE23" s="41" t="n"/>
    </row>
    <row r="24">
      <c r="B24" s="19" t="n"/>
      <c r="C24" s="21" t="n"/>
      <c r="D24" s="21" t="n"/>
      <c r="E24" s="21" t="n"/>
      <c r="F24" s="21" t="n"/>
      <c r="G24" s="21" t="n"/>
      <c r="H24" s="28" t="n"/>
      <c r="J24" s="42" t="n"/>
      <c r="K24" s="41" t="n"/>
      <c r="L24" s="41" t="n"/>
      <c r="M24" s="41" t="n"/>
      <c r="N24" s="41" t="n"/>
      <c r="O24" s="41" t="n"/>
      <c r="Q24" s="42" t="n"/>
      <c r="R24" s="41" t="n"/>
      <c r="S24" s="41" t="n"/>
      <c r="T24" s="41" t="n"/>
      <c r="U24" s="41" t="n"/>
      <c r="V24" s="41" t="n"/>
      <c r="Y24" s="42" t="n"/>
      <c r="Z24" s="41" t="n"/>
      <c r="AA24" s="41" t="n"/>
      <c r="AB24" s="41" t="n"/>
      <c r="AC24" s="41" t="n"/>
      <c r="AD24" s="41" t="n"/>
    </row>
    <row r="25">
      <c r="B25" s="104" t="inlineStr">
        <is>
          <t>Premium Fuel 90g Batch - 25 Serving in Package</t>
        </is>
      </c>
      <c r="C25" s="105" t="n"/>
      <c r="D25" s="105" t="n"/>
      <c r="E25" s="105" t="n"/>
      <c r="F25" s="105" t="n"/>
      <c r="G25" s="106" t="n"/>
      <c r="H25" s="28" t="n"/>
      <c r="J25" s="108" t="inlineStr">
        <is>
          <t>Premium Fuel 90g - 12 Serving in Package</t>
        </is>
      </c>
      <c r="K25" s="105" t="n"/>
      <c r="L25" s="105" t="n"/>
      <c r="M25" s="105" t="n"/>
      <c r="N25" s="105" t="n"/>
      <c r="O25" s="106" t="n"/>
      <c r="R25" s="108" t="inlineStr">
        <is>
          <t>Premium Fuel 90g - 5 Serving in Package</t>
        </is>
      </c>
      <c r="S25" s="105" t="n"/>
      <c r="T25" s="105" t="n"/>
      <c r="U25" s="105" t="n"/>
      <c r="V25" s="105" t="n"/>
      <c r="W25" s="106" t="n"/>
      <c r="Z25" s="108" t="inlineStr">
        <is>
          <t>Premium Fuel 90g - 24 x SS Serving in Package</t>
        </is>
      </c>
      <c r="AA25" s="105" t="n"/>
      <c r="AB25" s="105" t="n"/>
      <c r="AC25" s="105" t="n"/>
      <c r="AD25" s="105" t="n"/>
      <c r="AE25" s="106" t="n"/>
    </row>
    <row r="26">
      <c r="B26" s="3" t="inlineStr">
        <is>
          <t>Ingredient/mass (g)</t>
        </is>
      </c>
      <c r="C26" s="3" t="n"/>
      <c r="D26" s="104" t="inlineStr">
        <is>
          <t>2 Scoops = 94g , Weight approx 2333.23g</t>
        </is>
      </c>
      <c r="E26" s="105" t="n"/>
      <c r="F26" s="105" t="n"/>
      <c r="G26" s="106" t="n"/>
      <c r="H26" s="28" t="n"/>
      <c r="J26" s="43" t="inlineStr">
        <is>
          <t>Ingredient/mass (g)</t>
        </is>
      </c>
      <c r="K26" s="113" t="n"/>
      <c r="L26" s="111" t="n"/>
      <c r="M26" s="111" t="n"/>
      <c r="N26" s="111" t="n"/>
      <c r="O26" s="112" t="n"/>
      <c r="R26" s="43" t="inlineStr">
        <is>
          <t>Ingredient/mass (g)</t>
        </is>
      </c>
      <c r="S26" s="113" t="n"/>
      <c r="T26" s="111" t="n"/>
      <c r="U26" s="111" t="n"/>
      <c r="V26" s="111" t="n"/>
      <c r="W26" s="112" t="n"/>
      <c r="Z26" s="43" t="inlineStr">
        <is>
          <t>Ingredient/mass (g)</t>
        </is>
      </c>
      <c r="AA26" s="113" t="n"/>
      <c r="AB26" s="111" t="n"/>
      <c r="AC26" s="111" t="n"/>
      <c r="AD26" s="111" t="n"/>
      <c r="AE26" s="112" t="n"/>
    </row>
    <row r="27">
      <c r="A27" s="13" t="inlineStr">
        <is>
          <t>Base Ingredients</t>
        </is>
      </c>
      <c r="B27" s="4" t="inlineStr">
        <is>
          <t>Maltodextrin</t>
        </is>
      </c>
      <c r="C27" s="4" t="n"/>
      <c r="D27" s="119" t="inlineStr">
        <is>
          <t>1379.86g</t>
        </is>
      </c>
      <c r="G27" s="120" t="n"/>
      <c r="H27" s="28" t="n"/>
      <c r="I27" s="34" t="inlineStr">
        <is>
          <t>Base Ingredients</t>
        </is>
      </c>
      <c r="J27" s="47" t="inlineStr">
        <is>
          <t>Maltodextrin</t>
        </is>
      </c>
      <c r="K27" s="90" t="n"/>
      <c r="L27" s="114" t="n"/>
      <c r="M27" s="114" t="n"/>
      <c r="N27" s="114" t="n"/>
      <c r="O27" s="115" t="n"/>
      <c r="Q27" s="34" t="inlineStr">
        <is>
          <t>Base Ingredients</t>
        </is>
      </c>
      <c r="R27" s="47" t="inlineStr">
        <is>
          <t>Maltodextrin</t>
        </is>
      </c>
      <c r="S27" s="90" t="n"/>
      <c r="T27" s="114" t="n"/>
      <c r="U27" s="114" t="n"/>
      <c r="V27" s="114" t="n"/>
      <c r="W27" s="115" t="n"/>
      <c r="Y27" s="34" t="inlineStr">
        <is>
          <t>Base Ingredients</t>
        </is>
      </c>
      <c r="Z27" s="47" t="inlineStr">
        <is>
          <t>Maltodextrin</t>
        </is>
      </c>
      <c r="AA27" s="90" t="n"/>
      <c r="AB27" s="114" t="n"/>
      <c r="AC27" s="114" t="n"/>
      <c r="AD27" s="114" t="n"/>
      <c r="AE27" s="115" t="n"/>
    </row>
    <row r="28">
      <c r="B28" s="8" t="inlineStr">
        <is>
          <t xml:space="preserve">Fructose </t>
        </is>
      </c>
      <c r="C28" s="15" t="n"/>
      <c r="D28" s="66" t="inlineStr">
        <is>
          <t>625g</t>
        </is>
      </c>
      <c r="E28" s="114" t="n"/>
      <c r="F28" s="114" t="n"/>
      <c r="G28" s="115" t="n"/>
      <c r="H28" s="28" t="n"/>
      <c r="J28" s="47" t="inlineStr">
        <is>
          <t xml:space="preserve">Fructose </t>
        </is>
      </c>
      <c r="K28" s="91" t="n"/>
      <c r="L28" s="114" t="n"/>
      <c r="M28" s="114" t="n"/>
      <c r="N28" s="114" t="n"/>
      <c r="O28" s="115" t="n"/>
      <c r="R28" s="47" t="inlineStr">
        <is>
          <t xml:space="preserve">Fructose </t>
        </is>
      </c>
      <c r="S28" s="91" t="n"/>
      <c r="T28" s="114" t="n"/>
      <c r="U28" s="114" t="n"/>
      <c r="V28" s="114" t="n"/>
      <c r="W28" s="115" t="n"/>
      <c r="Z28" s="47" t="inlineStr">
        <is>
          <t xml:space="preserve">Fructose </t>
        </is>
      </c>
      <c r="AA28" s="91" t="n"/>
      <c r="AB28" s="114" t="n"/>
      <c r="AC28" s="114" t="n"/>
      <c r="AD28" s="114" t="n"/>
      <c r="AE28" s="115" t="n"/>
    </row>
    <row r="29">
      <c r="B29" s="18" t="inlineStr">
        <is>
          <t>Dextrose</t>
        </is>
      </c>
      <c r="C29" s="15" t="n"/>
      <c r="D29" s="121" t="inlineStr">
        <is>
          <t>13.94g</t>
        </is>
      </c>
      <c r="E29" s="122" t="n"/>
      <c r="F29" s="122" t="n"/>
      <c r="G29" s="123" t="n"/>
      <c r="H29" s="28" t="n"/>
      <c r="J29" s="47" t="inlineStr">
        <is>
          <t>Dextrose</t>
        </is>
      </c>
      <c r="K29" s="92" t="n"/>
      <c r="L29" s="114" t="n"/>
      <c r="M29" s="114" t="n"/>
      <c r="N29" s="114" t="n"/>
      <c r="O29" s="115" t="n"/>
      <c r="R29" s="47" t="inlineStr">
        <is>
          <t>Dextrose</t>
        </is>
      </c>
      <c r="S29" s="92" t="n"/>
      <c r="T29" s="114" t="n"/>
      <c r="U29" s="114" t="n"/>
      <c r="V29" s="114" t="n"/>
      <c r="W29" s="115" t="n"/>
      <c r="Z29" s="47" t="inlineStr">
        <is>
          <t>Dextrose</t>
        </is>
      </c>
      <c r="AA29" s="92" t="n"/>
      <c r="AB29" s="114" t="n"/>
      <c r="AC29" s="114" t="n"/>
      <c r="AD29" s="114" t="n"/>
      <c r="AE29" s="115" t="n"/>
    </row>
    <row r="30">
      <c r="A30" t="inlineStr">
        <is>
          <t>Variable</t>
        </is>
      </c>
      <c r="B30" s="15" t="n"/>
      <c r="C30" s="25" t="n"/>
      <c r="D30" s="25" t="n"/>
      <c r="E30" s="25" t="n"/>
      <c r="F30" s="25" t="n"/>
      <c r="G30" s="25" t="n"/>
      <c r="H30" s="28" t="n"/>
      <c r="I30" s="34" t="inlineStr">
        <is>
          <t>Variable</t>
        </is>
      </c>
      <c r="J30" s="38" t="n"/>
      <c r="K30" s="36" t="inlineStr">
        <is>
          <t xml:space="preserve">Light </t>
        </is>
      </c>
      <c r="L30" s="36" t="n"/>
      <c r="M30" s="36" t="inlineStr">
        <is>
          <t>Mid</t>
        </is>
      </c>
      <c r="N30" s="36" t="n"/>
      <c r="O30" s="36" t="inlineStr">
        <is>
          <t>Strong</t>
        </is>
      </c>
      <c r="Q30" s="34" t="inlineStr">
        <is>
          <t>Variable</t>
        </is>
      </c>
      <c r="R30" s="38" t="n"/>
      <c r="S30" s="36" t="inlineStr">
        <is>
          <t xml:space="preserve">Light </t>
        </is>
      </c>
      <c r="T30" s="36" t="n"/>
      <c r="U30" s="36" t="inlineStr">
        <is>
          <t>Mid</t>
        </is>
      </c>
      <c r="V30" s="36" t="n"/>
      <c r="W30" s="36" t="inlineStr">
        <is>
          <t>Strong</t>
        </is>
      </c>
      <c r="Z30" s="38" t="n"/>
      <c r="AA30" s="36" t="inlineStr">
        <is>
          <t xml:space="preserve">Light </t>
        </is>
      </c>
      <c r="AB30" s="36" t="n"/>
      <c r="AC30" s="36" t="inlineStr">
        <is>
          <t>Mid</t>
        </is>
      </c>
      <c r="AD30" s="36" t="n"/>
      <c r="AE30" s="36" t="inlineStr">
        <is>
          <t>Strong</t>
        </is>
      </c>
    </row>
    <row r="31">
      <c r="A31" s="23" t="inlineStr">
        <is>
          <t xml:space="preserve">FLV -RTU- </t>
        </is>
      </c>
      <c r="B31" s="16" t="inlineStr">
        <is>
          <t>Flavour RTU</t>
        </is>
      </c>
      <c r="C31" s="61" t="n"/>
      <c r="D31" s="31" t="n"/>
      <c r="E31" s="60" t="inlineStr">
        <is>
          <t xml:space="preserve">253.25g </t>
        </is>
      </c>
      <c r="F31" s="31" t="n"/>
      <c r="G31" s="31" t="n"/>
      <c r="H31" s="28" t="n"/>
      <c r="I31" s="35" t="inlineStr">
        <is>
          <t xml:space="preserve">FLV -RTU- </t>
        </is>
      </c>
      <c r="J31" s="35" t="inlineStr">
        <is>
          <t>Flavour RTU</t>
        </is>
      </c>
      <c r="K31" s="51" t="inlineStr">
        <is>
          <t xml:space="preserve">253.25g </t>
        </is>
      </c>
      <c r="L31" s="52" t="n"/>
      <c r="M31" s="52" t="n"/>
      <c r="N31" s="52" t="n"/>
      <c r="O31" s="52" t="n"/>
      <c r="Q31" s="35" t="inlineStr">
        <is>
          <t xml:space="preserve">FLV -RTU- </t>
        </is>
      </c>
      <c r="R31" s="35" t="inlineStr">
        <is>
          <t>Flavour RTU</t>
        </is>
      </c>
      <c r="S31" s="51" t="inlineStr">
        <is>
          <t xml:space="preserve">253.25g </t>
        </is>
      </c>
      <c r="T31" s="52" t="n"/>
      <c r="U31" s="52" t="n"/>
      <c r="V31" s="52" t="n"/>
      <c r="W31" s="52" t="n"/>
      <c r="Y31" s="34" t="inlineStr">
        <is>
          <t>Variable</t>
        </is>
      </c>
      <c r="Z31" s="35" t="inlineStr">
        <is>
          <t>Flavour RTU</t>
        </is>
      </c>
      <c r="AA31" s="51" t="n"/>
      <c r="AB31" s="52" t="n"/>
      <c r="AC31" s="52" t="n"/>
      <c r="AD31" s="52" t="n"/>
      <c r="AE31" s="52" t="n"/>
    </row>
    <row r="32">
      <c r="B32" s="15" t="inlineStr">
        <is>
          <t>Options</t>
        </is>
      </c>
      <c r="C32" s="84" t="inlineStr">
        <is>
          <t>BAN , CHOC , ORG , LLM , GRP , WMN , CRM , RASP</t>
        </is>
      </c>
      <c r="H32" s="28" t="n"/>
      <c r="J32" s="38" t="inlineStr">
        <is>
          <t>Options</t>
        </is>
      </c>
      <c r="K32" s="76" t="inlineStr">
        <is>
          <t>BAN , CHOC , ORG , LLM , GRP , WMN , CRM , RASP</t>
        </is>
      </c>
      <c r="R32" s="38" t="inlineStr">
        <is>
          <t>Options</t>
        </is>
      </c>
      <c r="S32" s="76" t="inlineStr">
        <is>
          <t>BAN , CHOC , ORG , LLM , GRP , WMN , CRM , RASP</t>
        </is>
      </c>
      <c r="Z32" s="35" t="inlineStr">
        <is>
          <t xml:space="preserve">FLV -RTU- </t>
        </is>
      </c>
      <c r="AA32" s="76" t="inlineStr">
        <is>
          <t>BAN , CHOC , ORG , LLM , GRP , WMN , CRM , RASP</t>
        </is>
      </c>
    </row>
    <row r="33" hidden="1" customFormat="1" s="34">
      <c r="A33" s="34" t="inlineStr">
        <is>
          <t>Optional</t>
        </is>
      </c>
      <c r="B33" s="35" t="n"/>
      <c r="C33" s="36" t="inlineStr">
        <is>
          <t>Low</t>
        </is>
      </c>
      <c r="D33" s="36" t="n"/>
      <c r="E33" s="36" t="inlineStr">
        <is>
          <t>Mid</t>
        </is>
      </c>
      <c r="F33" s="36" t="n"/>
      <c r="G33" s="36" t="inlineStr">
        <is>
          <t>High</t>
        </is>
      </c>
      <c r="H33" s="37" t="n"/>
      <c r="I33" s="34" t="inlineStr">
        <is>
          <t>Optional</t>
        </is>
      </c>
      <c r="J33" s="35" t="n"/>
      <c r="K33" s="36" t="inlineStr">
        <is>
          <t>Low</t>
        </is>
      </c>
      <c r="L33" s="36" t="n"/>
      <c r="M33" s="36" t="inlineStr">
        <is>
          <t>Mid</t>
        </is>
      </c>
      <c r="N33" s="36" t="n"/>
      <c r="O33" s="36" t="inlineStr">
        <is>
          <t>High</t>
        </is>
      </c>
      <c r="Q33" s="34" t="inlineStr">
        <is>
          <t>Optional</t>
        </is>
      </c>
      <c r="R33" s="35" t="n"/>
      <c r="S33" s="36" t="inlineStr">
        <is>
          <t>Low</t>
        </is>
      </c>
      <c r="T33" s="36" t="n"/>
      <c r="U33" s="36" t="inlineStr">
        <is>
          <t>Mid</t>
        </is>
      </c>
      <c r="V33" s="36" t="n"/>
      <c r="W33" s="36" t="inlineStr">
        <is>
          <t>High</t>
        </is>
      </c>
      <c r="Z33" s="35" t="n"/>
      <c r="AA33" s="36" t="inlineStr">
        <is>
          <t>Low</t>
        </is>
      </c>
      <c r="AB33" s="36" t="n"/>
      <c r="AC33" s="36" t="inlineStr">
        <is>
          <t>Mid</t>
        </is>
      </c>
      <c r="AD33" s="36" t="n"/>
      <c r="AE33" s="36" t="inlineStr">
        <is>
          <t>High</t>
        </is>
      </c>
    </row>
    <row r="34" hidden="1" customFormat="1" s="34">
      <c r="A34" s="116" t="inlineStr">
        <is>
          <t>????</t>
        </is>
      </c>
      <c r="B34" s="38" t="inlineStr">
        <is>
          <t>Calories</t>
        </is>
      </c>
      <c r="C34" s="39" t="n"/>
      <c r="D34" s="40" t="n"/>
      <c r="E34" s="40" t="n"/>
      <c r="F34" s="40" t="n"/>
      <c r="G34" s="40" t="n"/>
      <c r="H34" s="37" t="n"/>
      <c r="I34" s="116" t="inlineStr">
        <is>
          <t>????</t>
        </is>
      </c>
      <c r="J34" s="38" t="inlineStr">
        <is>
          <t>Calories</t>
        </is>
      </c>
      <c r="K34" s="39" t="n"/>
      <c r="L34" s="40" t="n"/>
      <c r="M34" s="40" t="n"/>
      <c r="N34" s="40" t="n"/>
      <c r="O34" s="40" t="n"/>
      <c r="Q34" s="116" t="inlineStr">
        <is>
          <t>????</t>
        </is>
      </c>
      <c r="R34" s="38" t="inlineStr">
        <is>
          <t>Calories</t>
        </is>
      </c>
      <c r="S34" s="39" t="n"/>
      <c r="T34" s="40" t="n"/>
      <c r="U34" s="40" t="n"/>
      <c r="V34" s="40" t="n"/>
      <c r="W34" s="40" t="n"/>
      <c r="Y34" s="34" t="inlineStr">
        <is>
          <t xml:space="preserve">Optional </t>
        </is>
      </c>
      <c r="Z34" s="38" t="inlineStr">
        <is>
          <t>Calories</t>
        </is>
      </c>
      <c r="AA34" s="39" t="n"/>
      <c r="AB34" s="40" t="n"/>
      <c r="AC34" s="40" t="n"/>
      <c r="AD34" s="40" t="n"/>
      <c r="AE34" s="40" t="n"/>
    </row>
    <row r="35" hidden="1" customFormat="1" s="34">
      <c r="A35" s="38" t="n"/>
      <c r="B35" s="38" t="n"/>
      <c r="C35" s="39" t="inlineStr">
        <is>
          <t xml:space="preserve">Simple Carbs </t>
        </is>
      </c>
      <c r="D35" s="40" t="n"/>
      <c r="E35" s="40" t="n"/>
      <c r="F35" s="40" t="n"/>
      <c r="G35" s="40" t="inlineStr">
        <is>
          <t>Complex Carbs</t>
        </is>
      </c>
      <c r="H35" s="37" t="n"/>
      <c r="I35" s="38" t="n"/>
      <c r="J35" s="38" t="n"/>
      <c r="K35" s="39" t="inlineStr">
        <is>
          <t xml:space="preserve">Simple Carbs </t>
        </is>
      </c>
      <c r="L35" s="40" t="n"/>
      <c r="M35" s="40" t="n"/>
      <c r="N35" s="40" t="n"/>
      <c r="O35" s="40" t="inlineStr">
        <is>
          <t>Complex Carbs</t>
        </is>
      </c>
      <c r="Q35" s="38" t="n"/>
      <c r="R35" s="38" t="n"/>
      <c r="S35" s="39" t="inlineStr">
        <is>
          <t xml:space="preserve">Simple Carbs </t>
        </is>
      </c>
      <c r="T35" s="40" t="n"/>
      <c r="U35" s="40" t="n"/>
      <c r="V35" s="40" t="n"/>
      <c r="W35" s="40" t="inlineStr">
        <is>
          <t>Complex Carbs</t>
        </is>
      </c>
      <c r="Z35" s="116" t="inlineStr">
        <is>
          <t>????</t>
        </is>
      </c>
      <c r="AA35" s="39" t="inlineStr">
        <is>
          <t xml:space="preserve">Simple Carbs </t>
        </is>
      </c>
      <c r="AB35" s="40" t="n"/>
      <c r="AC35" s="40" t="n"/>
      <c r="AD35" s="40" t="n"/>
      <c r="AE35" s="40" t="inlineStr">
        <is>
          <t>Complex Carbs</t>
        </is>
      </c>
    </row>
    <row r="36" hidden="1" customFormat="1" s="34">
      <c r="A36" s="116" t="inlineStr">
        <is>
          <t>????</t>
        </is>
      </c>
      <c r="B36" s="38" t="inlineStr">
        <is>
          <t xml:space="preserve">Carbohydrate Blend </t>
        </is>
      </c>
      <c r="C36" s="39" t="n"/>
      <c r="D36" s="41" t="n"/>
      <c r="E36" s="41" t="n"/>
      <c r="F36" s="41" t="n"/>
      <c r="G36" s="41" t="n"/>
      <c r="H36" s="37" t="n"/>
      <c r="I36" s="116" t="inlineStr">
        <is>
          <t>????</t>
        </is>
      </c>
      <c r="J36" s="38" t="inlineStr">
        <is>
          <t xml:space="preserve">Carbohydrate Blend </t>
        </is>
      </c>
      <c r="K36" s="39" t="n"/>
      <c r="L36" s="41" t="n"/>
      <c r="M36" s="41" t="n"/>
      <c r="N36" s="41" t="n"/>
      <c r="O36" s="41" t="n"/>
      <c r="Q36" s="116" t="inlineStr">
        <is>
          <t>????</t>
        </is>
      </c>
      <c r="R36" s="38" t="inlineStr">
        <is>
          <t xml:space="preserve">Carbohydrate Blend </t>
        </is>
      </c>
      <c r="S36" s="39" t="n"/>
      <c r="T36" s="41" t="n"/>
      <c r="U36" s="41" t="n"/>
      <c r="V36" s="41" t="n"/>
      <c r="W36" s="41" t="n"/>
      <c r="Z36" s="38" t="inlineStr">
        <is>
          <t xml:space="preserve">Carbohydrate Blend </t>
        </is>
      </c>
      <c r="AA36" s="39" t="n"/>
      <c r="AB36" s="41" t="n"/>
      <c r="AC36" s="41" t="n"/>
      <c r="AD36" s="41" t="n"/>
      <c r="AE36" s="41" t="n"/>
    </row>
    <row r="37">
      <c r="A37" s="15" t="n"/>
      <c r="B37" s="15" t="n"/>
      <c r="C37" s="26" t="inlineStr">
        <is>
          <t>Low</t>
        </is>
      </c>
      <c r="D37" s="26" t="n"/>
      <c r="E37" s="26" t="inlineStr">
        <is>
          <t>Mid</t>
        </is>
      </c>
      <c r="F37" s="26" t="n"/>
      <c r="G37" s="26" t="inlineStr">
        <is>
          <t>High</t>
        </is>
      </c>
      <c r="H37" s="28" t="n"/>
      <c r="I37" s="38" t="n"/>
      <c r="J37" s="38" t="n"/>
      <c r="K37" s="40" t="inlineStr">
        <is>
          <t>Low</t>
        </is>
      </c>
      <c r="L37" s="40" t="n"/>
      <c r="M37" s="40" t="inlineStr">
        <is>
          <t>Mid</t>
        </is>
      </c>
      <c r="N37" s="40" t="n"/>
      <c r="O37" s="40" t="inlineStr">
        <is>
          <t>High</t>
        </is>
      </c>
      <c r="Q37" s="38" t="n"/>
      <c r="R37" s="38" t="n"/>
      <c r="S37" s="40" t="inlineStr">
        <is>
          <t>Low</t>
        </is>
      </c>
      <c r="T37" s="40" t="n"/>
      <c r="U37" s="40" t="inlineStr">
        <is>
          <t>Mid</t>
        </is>
      </c>
      <c r="V37" s="40" t="n"/>
      <c r="W37" s="40" t="inlineStr">
        <is>
          <t>High</t>
        </is>
      </c>
      <c r="Z37" s="117" t="inlineStr">
        <is>
          <t>????</t>
        </is>
      </c>
      <c r="AA37" s="40" t="inlineStr">
        <is>
          <t>Low</t>
        </is>
      </c>
      <c r="AB37" s="40" t="n"/>
      <c r="AC37" s="40" t="inlineStr">
        <is>
          <t>Mid</t>
        </is>
      </c>
      <c r="AD37" s="40" t="n"/>
      <c r="AE37" s="40" t="inlineStr">
        <is>
          <t>High</t>
        </is>
      </c>
    </row>
    <row r="38">
      <c r="A38" s="24" t="inlineStr">
        <is>
          <t>RTU-ELECTROLYTE-MIX</t>
        </is>
      </c>
      <c r="B38" s="19" t="inlineStr">
        <is>
          <t>Electrolytes</t>
        </is>
      </c>
      <c r="C38" s="33" t="n">
        <v>49.07</v>
      </c>
      <c r="D38" s="33" t="n"/>
      <c r="E38" s="33" t="n">
        <v>61.14</v>
      </c>
      <c r="F38" s="33" t="n"/>
      <c r="G38" s="33" t="n">
        <v>122.28</v>
      </c>
      <c r="H38" s="28" t="n"/>
      <c r="I38" s="42" t="inlineStr">
        <is>
          <t>RTU-ELECTROLYTE-MIX</t>
        </is>
      </c>
      <c r="J38" s="42" t="inlineStr">
        <is>
          <t>Electrolytes</t>
        </is>
      </c>
      <c r="K38" s="41" t="n"/>
      <c r="L38" s="41" t="n"/>
      <c r="M38" s="41" t="n"/>
      <c r="N38" s="41" t="n"/>
      <c r="O38" s="41" t="n"/>
      <c r="Q38" s="42" t="inlineStr">
        <is>
          <t>RTU-ELECTROLYTE-MIX</t>
        </is>
      </c>
      <c r="R38" s="42" t="inlineStr">
        <is>
          <t>Electrolytes</t>
        </is>
      </c>
      <c r="S38" s="41" t="n"/>
      <c r="T38" s="41" t="n"/>
      <c r="U38" s="41" t="n"/>
      <c r="V38" s="41" t="n"/>
      <c r="W38" s="41" t="n"/>
      <c r="Z38" s="42" t="inlineStr">
        <is>
          <t>Electrolytes</t>
        </is>
      </c>
      <c r="AA38" s="41" t="n"/>
      <c r="AB38" s="41" t="n"/>
      <c r="AC38" s="41" t="n"/>
      <c r="AD38" s="41" t="n"/>
      <c r="AE38" s="41" t="n"/>
    </row>
    <row r="39" hidden="1" customFormat="1" s="34">
      <c r="B39" s="42" t="n"/>
      <c r="C39" s="40" t="inlineStr">
        <is>
          <t>None</t>
        </is>
      </c>
      <c r="D39" s="40" t="n"/>
      <c r="E39" s="40" t="n"/>
      <c r="F39" s="40" t="n"/>
      <c r="G39" s="40" t="inlineStr">
        <is>
          <t>10g</t>
        </is>
      </c>
      <c r="H39" s="37" t="n"/>
      <c r="J39" s="42" t="n"/>
      <c r="K39" s="40" t="inlineStr">
        <is>
          <t>None</t>
        </is>
      </c>
      <c r="L39" s="40" t="n"/>
      <c r="M39" s="40" t="n"/>
      <c r="N39" s="40" t="n"/>
      <c r="O39" s="40" t="inlineStr">
        <is>
          <t>10g</t>
        </is>
      </c>
      <c r="R39" s="42" t="n"/>
      <c r="S39" s="40" t="inlineStr">
        <is>
          <t>None</t>
        </is>
      </c>
      <c r="T39" s="40" t="n"/>
      <c r="U39" s="40" t="n"/>
      <c r="V39" s="40" t="n"/>
      <c r="W39" s="40" t="inlineStr">
        <is>
          <t>10g</t>
        </is>
      </c>
      <c r="Z39" s="42" t="inlineStr">
        <is>
          <t>RTU-ELECTROLYTE-MIX</t>
        </is>
      </c>
      <c r="AA39" s="40" t="n"/>
      <c r="AB39" s="40" t="n"/>
      <c r="AC39" s="40" t="n"/>
      <c r="AD39" s="40" t="n"/>
      <c r="AE39" s="40" t="n"/>
    </row>
    <row r="40" hidden="1" ht="15" customFormat="1" customHeight="1" s="55">
      <c r="A40" s="116" t="inlineStr">
        <is>
          <t>????</t>
        </is>
      </c>
      <c r="B40" s="42" t="inlineStr">
        <is>
          <t>Protein</t>
        </is>
      </c>
      <c r="C40" s="41" t="n"/>
      <c r="D40" s="41" t="n"/>
      <c r="E40" s="41" t="n"/>
      <c r="F40" s="41" t="n"/>
      <c r="G40" s="41" t="n"/>
      <c r="H40" s="58" t="n"/>
      <c r="I40" s="116" t="inlineStr">
        <is>
          <t>????</t>
        </is>
      </c>
      <c r="J40" s="42" t="inlineStr">
        <is>
          <t>Protein</t>
        </is>
      </c>
      <c r="K40" s="41" t="n"/>
      <c r="L40" s="41" t="n"/>
      <c r="M40" s="41" t="n"/>
      <c r="N40" s="41" t="n"/>
      <c r="O40" s="41" t="n"/>
      <c r="P40" s="54" t="n"/>
      <c r="Q40" s="116" t="inlineStr">
        <is>
          <t>????</t>
        </is>
      </c>
      <c r="R40" s="42" t="inlineStr">
        <is>
          <t>Protein</t>
        </is>
      </c>
      <c r="S40" s="41" t="n"/>
      <c r="T40" s="41" t="n"/>
      <c r="U40" s="41" t="n"/>
      <c r="V40" s="41" t="n"/>
      <c r="W40" s="41" t="n"/>
      <c r="Y40" s="34" t="n"/>
      <c r="Z40" s="42" t="inlineStr">
        <is>
          <t>Protein</t>
        </is>
      </c>
      <c r="AA40" s="40" t="inlineStr">
        <is>
          <t>None</t>
        </is>
      </c>
      <c r="AB40" s="40" t="n"/>
      <c r="AC40" s="40" t="n"/>
      <c r="AD40" s="40" t="n"/>
      <c r="AE40" s="40" t="inlineStr">
        <is>
          <t>10g</t>
        </is>
      </c>
    </row>
    <row r="41" hidden="1" ht="15" customFormat="1" customHeight="1" s="57">
      <c r="A41" s="34" t="n"/>
      <c r="B41" s="34" t="n"/>
      <c r="C41" s="40" t="inlineStr">
        <is>
          <t>None</t>
        </is>
      </c>
      <c r="D41" s="40" t="n"/>
      <c r="E41" s="40" t="n"/>
      <c r="F41" s="40" t="n"/>
      <c r="G41" s="40" t="inlineStr">
        <is>
          <t>3g per serving</t>
        </is>
      </c>
      <c r="H41" s="59" t="n"/>
      <c r="I41" s="34" t="n"/>
      <c r="J41" s="34" t="n"/>
      <c r="K41" s="40" t="inlineStr">
        <is>
          <t>None</t>
        </is>
      </c>
      <c r="L41" s="40" t="n"/>
      <c r="M41" s="40" t="n"/>
      <c r="N41" s="40" t="n"/>
      <c r="O41" s="40" t="inlineStr">
        <is>
          <t>3g per serving</t>
        </is>
      </c>
      <c r="P41" s="56" t="n"/>
      <c r="Q41" s="34" t="n"/>
      <c r="R41" s="34" t="n"/>
      <c r="S41" s="40" t="inlineStr">
        <is>
          <t>None</t>
        </is>
      </c>
      <c r="T41" s="40" t="n"/>
      <c r="U41" s="40" t="n"/>
      <c r="V41" s="40" t="n"/>
      <c r="W41" s="40" t="inlineStr">
        <is>
          <t>3g per serving</t>
        </is>
      </c>
      <c r="Y41" s="34" t="n"/>
      <c r="Z41" s="117" t="inlineStr">
        <is>
          <t>????</t>
        </is>
      </c>
      <c r="AA41" s="41" t="n"/>
      <c r="AB41" s="41" t="n"/>
      <c r="AC41" s="41" t="n"/>
      <c r="AD41" s="41" t="n"/>
      <c r="AE41" s="41" t="n"/>
    </row>
    <row r="42" hidden="1" ht="15" customFormat="1" customHeight="1" s="57">
      <c r="A42" s="116" t="inlineStr">
        <is>
          <t>????</t>
        </is>
      </c>
      <c r="B42" s="42" t="inlineStr">
        <is>
          <t>BCAA's</t>
        </is>
      </c>
      <c r="C42" s="40" t="n"/>
      <c r="D42" s="40" t="n"/>
      <c r="E42" s="40" t="n"/>
      <c r="F42" s="40" t="n"/>
      <c r="G42" s="40" t="n"/>
      <c r="H42" s="59" t="n"/>
      <c r="I42" s="116" t="inlineStr">
        <is>
          <t>????</t>
        </is>
      </c>
      <c r="J42" s="42" t="inlineStr">
        <is>
          <t>BCAA's</t>
        </is>
      </c>
      <c r="K42" s="40" t="n"/>
      <c r="L42" s="40" t="n"/>
      <c r="M42" s="40" t="n"/>
      <c r="N42" s="40" t="n"/>
      <c r="O42" s="40" t="n"/>
      <c r="P42" s="56" t="n"/>
      <c r="Q42" s="116" t="inlineStr">
        <is>
          <t>????</t>
        </is>
      </c>
      <c r="R42" s="42" t="inlineStr">
        <is>
          <t>BCAA's</t>
        </is>
      </c>
      <c r="S42" s="40" t="n"/>
      <c r="T42" s="40" t="n"/>
      <c r="U42" s="40" t="n"/>
      <c r="V42" s="40" t="n"/>
      <c r="W42" s="40" t="n"/>
      <c r="Y42" s="34" t="n"/>
      <c r="Z42" s="42" t="inlineStr">
        <is>
          <t>BCAA's</t>
        </is>
      </c>
      <c r="AA42" s="40" t="inlineStr">
        <is>
          <t>None</t>
        </is>
      </c>
      <c r="AB42" s="40" t="n"/>
      <c r="AC42" s="40" t="n"/>
      <c r="AD42" s="40" t="n"/>
      <c r="AE42" s="40" t="inlineStr">
        <is>
          <t>3g per serving</t>
        </is>
      </c>
    </row>
    <row r="43" ht="15" customFormat="1" customHeight="1" s="2">
      <c r="C43" s="26" t="inlineStr">
        <is>
          <t>None</t>
        </is>
      </c>
      <c r="D43" s="26" t="n">
        <v>25</v>
      </c>
      <c r="E43" s="26" t="n">
        <v>50</v>
      </c>
      <c r="F43" s="26" t="n">
        <v>75</v>
      </c>
      <c r="G43" s="26" t="inlineStr">
        <is>
          <t>100mg per serving</t>
        </is>
      </c>
      <c r="H43" s="29" t="n"/>
      <c r="I43" s="34" t="n"/>
      <c r="J43" s="34" t="n"/>
      <c r="K43" s="40" t="inlineStr">
        <is>
          <t>None</t>
        </is>
      </c>
      <c r="L43" s="40" t="n"/>
      <c r="M43" s="40" t="n"/>
      <c r="N43" s="40" t="n"/>
      <c r="O43" s="40" t="inlineStr">
        <is>
          <t>200mg per serving</t>
        </is>
      </c>
      <c r="P43" s="56" t="n"/>
      <c r="Q43" s="34" t="n"/>
      <c r="R43" s="34" t="n"/>
      <c r="S43" s="40" t="inlineStr">
        <is>
          <t>None</t>
        </is>
      </c>
      <c r="T43" s="40" t="n"/>
      <c r="U43" s="40" t="n"/>
      <c r="V43" s="40" t="n"/>
      <c r="W43" s="40" t="inlineStr">
        <is>
          <t>200mg per serving</t>
        </is>
      </c>
      <c r="X43" s="57" t="n"/>
      <c r="Y43" s="34" t="n"/>
      <c r="Z43" s="117" t="inlineStr">
        <is>
          <t>????</t>
        </is>
      </c>
      <c r="AA43" s="40" t="n"/>
      <c r="AB43" s="40" t="n"/>
      <c r="AC43" s="40" t="n"/>
      <c r="AD43" s="40" t="n"/>
      <c r="AE43" s="40" t="n"/>
    </row>
    <row r="44" ht="15" customFormat="1" customHeight="1" s="2">
      <c r="A44" s="24" t="inlineStr">
        <is>
          <t>RAW-CAFFEINE</t>
        </is>
      </c>
      <c r="B44" s="19" t="inlineStr">
        <is>
          <t>Caffeine</t>
        </is>
      </c>
      <c r="C44" s="32" t="n">
        <v>0</v>
      </c>
      <c r="D44" s="32" t="n">
        <v>1.3</v>
      </c>
      <c r="E44" s="32" t="n">
        <v>2.5</v>
      </c>
      <c r="F44" s="32" t="n">
        <v>3.8</v>
      </c>
      <c r="G44" s="32" t="n">
        <v>5</v>
      </c>
      <c r="H44" s="29" t="n"/>
      <c r="I44" s="42" t="inlineStr">
        <is>
          <t>RAW-CAFFEINE</t>
        </is>
      </c>
      <c r="J44" s="42" t="inlineStr">
        <is>
          <t>Caffeine</t>
        </is>
      </c>
      <c r="K44" s="40" t="n"/>
      <c r="L44" s="40" t="n"/>
      <c r="M44" s="40" t="n"/>
      <c r="N44" s="40" t="n"/>
      <c r="O44" s="40" t="n"/>
      <c r="P44" s="56" t="n"/>
      <c r="Q44" s="42" t="inlineStr">
        <is>
          <t>RAW-CAFFEINE</t>
        </is>
      </c>
      <c r="R44" s="42" t="inlineStr">
        <is>
          <t>Caffeine</t>
        </is>
      </c>
      <c r="S44" s="40" t="n"/>
      <c r="T44" s="40" t="n"/>
      <c r="U44" s="40" t="n"/>
      <c r="V44" s="40" t="n"/>
      <c r="W44" s="40" t="n"/>
      <c r="X44" s="57" t="n"/>
      <c r="Y44" s="34" t="n"/>
      <c r="Z44" s="42" t="inlineStr">
        <is>
          <t>Caffeine</t>
        </is>
      </c>
      <c r="AA44" s="40" t="inlineStr">
        <is>
          <t>None</t>
        </is>
      </c>
      <c r="AB44" s="40" t="n"/>
      <c r="AC44" s="40" t="n"/>
      <c r="AD44" s="40" t="n"/>
      <c r="AE44" s="40" t="inlineStr">
        <is>
          <t>200mg per serving</t>
        </is>
      </c>
    </row>
    <row r="45" ht="15" customFormat="1" customHeight="1" s="2">
      <c r="H45" s="29" t="n"/>
      <c r="I45" s="56" t="n"/>
      <c r="J45" s="56" t="n"/>
      <c r="K45" s="56" t="n"/>
      <c r="L45" s="56" t="n"/>
      <c r="M45" s="56" t="n"/>
      <c r="N45" s="56" t="n"/>
      <c r="O45" s="56" t="n"/>
      <c r="P45" s="56" t="n"/>
      <c r="Q45" s="56" t="n"/>
      <c r="R45" s="56" t="n"/>
      <c r="S45" s="56" t="n"/>
      <c r="T45" s="56" t="n"/>
      <c r="U45" s="56" t="n"/>
      <c r="V45" s="56" t="n"/>
      <c r="W45" s="57" t="n"/>
      <c r="X45" s="57" t="n"/>
      <c r="Y45" s="57" t="n"/>
      <c r="Z45" s="57" t="n"/>
      <c r="AA45" s="57" t="n"/>
      <c r="AB45" s="57" t="n"/>
      <c r="AC45" s="57" t="n"/>
      <c r="AD45" s="57" t="n"/>
      <c r="AE45" s="57" t="n"/>
    </row>
    <row r="46" ht="15" customFormat="1" customHeight="1" s="2">
      <c r="H46" s="29" t="n"/>
      <c r="I46" s="56" t="n"/>
      <c r="J46" s="56" t="n"/>
      <c r="K46" s="56" t="n"/>
      <c r="L46" s="56" t="n"/>
      <c r="M46" s="56" t="n"/>
      <c r="N46" s="56" t="n"/>
      <c r="O46" s="56" t="n"/>
      <c r="P46" s="56" t="n"/>
      <c r="Q46" s="56" t="n"/>
      <c r="R46" s="56" t="n"/>
      <c r="S46" s="56" t="n"/>
      <c r="T46" s="56" t="n"/>
      <c r="U46" s="56" t="n"/>
      <c r="V46" s="56" t="n"/>
      <c r="W46" s="57" t="n"/>
      <c r="X46" s="57" t="n"/>
      <c r="Y46" s="57" t="n"/>
      <c r="Z46" s="57" t="n"/>
      <c r="AA46" s="57" t="n"/>
      <c r="AB46" s="57" t="n"/>
      <c r="AC46" s="57" t="n"/>
      <c r="AD46" s="57" t="n"/>
      <c r="AE46" s="57" t="n"/>
    </row>
    <row r="47" ht="15" customFormat="1" customHeight="1" s="2">
      <c r="H47" s="29" t="n"/>
      <c r="I47" s="56" t="n"/>
      <c r="J47" s="56" t="n"/>
      <c r="K47" s="56" t="n"/>
      <c r="L47" s="56" t="n"/>
      <c r="M47" s="56" t="n"/>
      <c r="N47" s="56" t="n"/>
      <c r="O47" s="56" t="n"/>
      <c r="P47" s="56" t="n"/>
      <c r="Q47" s="56" t="n"/>
      <c r="R47" s="56" t="n"/>
      <c r="S47" s="56" t="n"/>
      <c r="T47" s="56" t="n"/>
      <c r="U47" s="56" t="n"/>
      <c r="V47" s="56" t="n"/>
      <c r="W47" s="57" t="n"/>
      <c r="X47" s="57" t="n"/>
      <c r="Y47" s="57" t="n"/>
      <c r="Z47" s="57" t="n"/>
      <c r="AA47" s="57" t="n"/>
      <c r="AB47" s="57" t="n"/>
      <c r="AC47" s="57" t="n"/>
      <c r="AD47" s="57" t="n"/>
      <c r="AE47" s="57" t="n"/>
    </row>
    <row r="48" ht="15" customFormat="1" customHeight="1" s="2">
      <c r="B48" s="104" t="inlineStr">
        <is>
          <t>Premium Fuel 120g Batch - 18 Serving in Package</t>
        </is>
      </c>
      <c r="C48" s="105" t="n"/>
      <c r="D48" s="105" t="n"/>
      <c r="E48" s="105" t="n"/>
      <c r="F48" s="105" t="n"/>
      <c r="G48" s="106" t="n"/>
      <c r="H48" s="29" t="n"/>
      <c r="I48" s="34" t="n"/>
      <c r="J48" s="108" t="inlineStr">
        <is>
          <t>Premium Fuel 120g - 12 Serving in Package</t>
        </is>
      </c>
      <c r="K48" s="105" t="n"/>
      <c r="L48" s="105" t="n"/>
      <c r="M48" s="105" t="n"/>
      <c r="N48" s="105" t="n"/>
      <c r="O48" s="106" t="n"/>
      <c r="P48" s="34" t="n"/>
      <c r="Q48" s="34" t="n"/>
      <c r="R48" s="108" t="inlineStr">
        <is>
          <t>Premium Fuel 120g - 5 Serving in Package</t>
        </is>
      </c>
      <c r="S48" s="105" t="n"/>
      <c r="T48" s="105" t="n"/>
      <c r="U48" s="105" t="n"/>
      <c r="V48" s="105" t="n"/>
      <c r="W48" s="106" t="n"/>
      <c r="X48" s="34" t="n"/>
      <c r="Y48" s="34" t="n"/>
      <c r="Z48" s="108" t="inlineStr">
        <is>
          <t>Premium Fuel 120g - 24 x SS Serving in Package</t>
        </is>
      </c>
      <c r="AA48" s="105" t="n"/>
      <c r="AB48" s="105" t="n"/>
      <c r="AC48" s="105" t="n"/>
      <c r="AD48" s="105" t="n"/>
      <c r="AE48" s="106" t="n"/>
    </row>
    <row r="49" ht="15" customFormat="1" customHeight="1" s="2">
      <c r="B49" s="3" t="inlineStr">
        <is>
          <t>Ingredient/mass (g)</t>
        </is>
      </c>
      <c r="C49" s="3" t="n"/>
      <c r="D49" s="104" t="inlineStr">
        <is>
          <t>3 Scoops = 123g , Weight approx 2220g</t>
        </is>
      </c>
      <c r="E49" s="105" t="n"/>
      <c r="F49" s="105" t="n"/>
      <c r="G49" s="106" t="n"/>
      <c r="H49" s="29" t="n"/>
      <c r="I49" s="34" t="n"/>
      <c r="J49" s="43" t="inlineStr">
        <is>
          <t>Ingredient/mass (g)</t>
        </is>
      </c>
      <c r="K49" s="113" t="n"/>
      <c r="L49" s="111" t="n"/>
      <c r="M49" s="111" t="n"/>
      <c r="N49" s="111" t="n"/>
      <c r="O49" s="112" t="n"/>
      <c r="P49" s="34" t="n"/>
      <c r="Q49" s="34" t="n"/>
      <c r="R49" s="43" t="inlineStr">
        <is>
          <t>Ingredient/mass (g)</t>
        </is>
      </c>
      <c r="S49" s="113" t="n"/>
      <c r="T49" s="111" t="n"/>
      <c r="U49" s="111" t="n"/>
      <c r="V49" s="111" t="n"/>
      <c r="W49" s="112" t="n"/>
      <c r="X49" s="34" t="n"/>
      <c r="Y49" s="34" t="n"/>
      <c r="Z49" s="43" t="inlineStr">
        <is>
          <t>Ingredient/mass (g)</t>
        </is>
      </c>
      <c r="AA49" s="113" t="n"/>
      <c r="AB49" s="111" t="n"/>
      <c r="AC49" s="111" t="n"/>
      <c r="AD49" s="111" t="n"/>
      <c r="AE49" s="112" t="n"/>
    </row>
    <row r="50" ht="15" customFormat="1" customHeight="1" s="2">
      <c r="A50" s="13" t="inlineStr">
        <is>
          <t>Base Ingredients</t>
        </is>
      </c>
      <c r="B50" s="4" t="inlineStr">
        <is>
          <t>Maltodextrin</t>
        </is>
      </c>
      <c r="C50" s="4" t="n"/>
      <c r="D50" s="124" t="inlineStr">
        <is>
          <t>993.5g</t>
        </is>
      </c>
      <c r="E50" s="111" t="n"/>
      <c r="F50" s="111" t="n"/>
      <c r="G50" s="112" t="n"/>
      <c r="H50" s="29" t="n"/>
      <c r="I50" s="34" t="inlineStr">
        <is>
          <t>Base Ingredients</t>
        </is>
      </c>
      <c r="J50" s="47" t="inlineStr">
        <is>
          <t>Maltodextrin</t>
        </is>
      </c>
      <c r="K50" s="90" t="n"/>
      <c r="L50" s="114" t="n"/>
      <c r="M50" s="114" t="n"/>
      <c r="N50" s="114" t="n"/>
      <c r="O50" s="115" t="n"/>
      <c r="P50" s="34" t="n"/>
      <c r="Q50" s="34" t="inlineStr">
        <is>
          <t>Base Ingredients</t>
        </is>
      </c>
      <c r="R50" s="47" t="inlineStr">
        <is>
          <t>Maltodextrin</t>
        </is>
      </c>
      <c r="S50" s="90" t="n"/>
      <c r="T50" s="114" t="n"/>
      <c r="U50" s="114" t="n"/>
      <c r="V50" s="114" t="n"/>
      <c r="W50" s="115" t="n"/>
      <c r="X50" s="34" t="n"/>
      <c r="Y50" s="34" t="inlineStr">
        <is>
          <t>Base Ingredients</t>
        </is>
      </c>
      <c r="Z50" s="47" t="inlineStr">
        <is>
          <t>Maltodextrin</t>
        </is>
      </c>
      <c r="AA50" s="90" t="n"/>
      <c r="AB50" s="114" t="n"/>
      <c r="AC50" s="114" t="n"/>
      <c r="AD50" s="114" t="n"/>
      <c r="AE50" s="115" t="n"/>
    </row>
    <row r="51" ht="15" customFormat="1" customHeight="1" s="2">
      <c r="B51" s="8" t="inlineStr">
        <is>
          <t xml:space="preserve">Fructose </t>
        </is>
      </c>
      <c r="C51" s="15" t="n"/>
      <c r="D51" s="66" t="inlineStr">
        <is>
          <t>990g</t>
        </is>
      </c>
      <c r="E51" s="114" t="n"/>
      <c r="F51" s="114" t="n"/>
      <c r="G51" s="115" t="n"/>
      <c r="H51" s="29" t="n"/>
      <c r="I51" s="34" t="n"/>
      <c r="J51" s="47" t="inlineStr">
        <is>
          <t xml:space="preserve">Fructose </t>
        </is>
      </c>
      <c r="K51" s="91" t="n"/>
      <c r="L51" s="114" t="n"/>
      <c r="M51" s="114" t="n"/>
      <c r="N51" s="114" t="n"/>
      <c r="O51" s="115" t="n"/>
      <c r="P51" s="34" t="n"/>
      <c r="Q51" s="34" t="n"/>
      <c r="R51" s="47" t="inlineStr">
        <is>
          <t xml:space="preserve">Fructose </t>
        </is>
      </c>
      <c r="S51" s="91" t="n"/>
      <c r="T51" s="114" t="n"/>
      <c r="U51" s="114" t="n"/>
      <c r="V51" s="114" t="n"/>
      <c r="W51" s="115" t="n"/>
      <c r="X51" s="34" t="n"/>
      <c r="Y51" s="34" t="n"/>
      <c r="Z51" s="47" t="inlineStr">
        <is>
          <t xml:space="preserve">Fructose </t>
        </is>
      </c>
      <c r="AA51" s="91" t="n"/>
      <c r="AB51" s="114" t="n"/>
      <c r="AC51" s="114" t="n"/>
      <c r="AD51" s="114" t="n"/>
      <c r="AE51" s="115" t="n"/>
    </row>
    <row r="52" ht="15" customFormat="1" customHeight="1" s="2">
      <c r="B52" s="18" t="inlineStr">
        <is>
          <t>Dextrose</t>
        </is>
      </c>
      <c r="C52" s="15" t="n"/>
      <c r="D52" s="121" t="inlineStr">
        <is>
          <t>10.04g</t>
        </is>
      </c>
      <c r="E52" s="122" t="n"/>
      <c r="F52" s="122" t="n"/>
      <c r="G52" s="123" t="n"/>
      <c r="H52" s="29" t="n"/>
      <c r="I52" s="34" t="n"/>
      <c r="J52" s="47" t="inlineStr">
        <is>
          <t>Dextrose</t>
        </is>
      </c>
      <c r="K52" s="92" t="n"/>
      <c r="L52" s="114" t="n"/>
      <c r="M52" s="114" t="n"/>
      <c r="N52" s="114" t="n"/>
      <c r="O52" s="115" t="n"/>
      <c r="P52" s="34" t="n"/>
      <c r="Q52" s="34" t="n"/>
      <c r="R52" s="47" t="inlineStr">
        <is>
          <t>Dextrose</t>
        </is>
      </c>
      <c r="S52" s="92" t="n"/>
      <c r="T52" s="114" t="n"/>
      <c r="U52" s="114" t="n"/>
      <c r="V52" s="114" t="n"/>
      <c r="W52" s="115" t="n"/>
      <c r="X52" s="34" t="n"/>
      <c r="Y52" s="34" t="n"/>
      <c r="Z52" s="47" t="inlineStr">
        <is>
          <t>Dextrose</t>
        </is>
      </c>
      <c r="AA52" s="92" t="n"/>
      <c r="AB52" s="114" t="n"/>
      <c r="AC52" s="114" t="n"/>
      <c r="AD52" s="114" t="n"/>
      <c r="AE52" s="115" t="n"/>
    </row>
    <row r="53" ht="15" customFormat="1" customHeight="1" s="2">
      <c r="A53" t="inlineStr">
        <is>
          <t>Variable</t>
        </is>
      </c>
      <c r="B53" s="15" t="n"/>
      <c r="C53" s="25" t="n"/>
      <c r="D53" s="25" t="n"/>
      <c r="E53" s="25" t="n"/>
      <c r="F53" s="25" t="n"/>
      <c r="G53" s="25" t="n"/>
      <c r="H53" s="29" t="n"/>
      <c r="I53" s="34" t="inlineStr">
        <is>
          <t>Variable</t>
        </is>
      </c>
      <c r="J53" s="38" t="n"/>
      <c r="K53" s="36" t="inlineStr">
        <is>
          <t xml:space="preserve">Light </t>
        </is>
      </c>
      <c r="L53" s="36" t="n"/>
      <c r="M53" s="36" t="inlineStr">
        <is>
          <t>Mid</t>
        </is>
      </c>
      <c r="N53" s="36" t="n"/>
      <c r="O53" s="36" t="inlineStr">
        <is>
          <t>Strong</t>
        </is>
      </c>
      <c r="P53" s="34" t="n"/>
      <c r="Q53" s="34" t="inlineStr">
        <is>
          <t>Variable</t>
        </is>
      </c>
      <c r="R53" s="38" t="n"/>
      <c r="S53" s="36" t="inlineStr">
        <is>
          <t xml:space="preserve">Light </t>
        </is>
      </c>
      <c r="T53" s="36" t="n"/>
      <c r="U53" s="36" t="inlineStr">
        <is>
          <t>Mid</t>
        </is>
      </c>
      <c r="V53" s="36" t="n"/>
      <c r="W53" s="36" t="inlineStr">
        <is>
          <t>Strong</t>
        </is>
      </c>
      <c r="X53" s="34" t="n"/>
      <c r="Y53" s="34" t="n"/>
      <c r="Z53" s="34" t="n"/>
      <c r="AA53" s="38" t="n"/>
      <c r="AB53" s="36" t="inlineStr">
        <is>
          <t xml:space="preserve">Light </t>
        </is>
      </c>
      <c r="AC53" s="36" t="n"/>
      <c r="AD53" s="36" t="inlineStr">
        <is>
          <t>Mid</t>
        </is>
      </c>
      <c r="AE53" s="36" t="n"/>
      <c r="AF53" s="25" t="inlineStr">
        <is>
          <t>Strong</t>
        </is>
      </c>
    </row>
    <row r="54" ht="15" customFormat="1" customHeight="1" s="2">
      <c r="A54" s="23" t="inlineStr">
        <is>
          <t xml:space="preserve">FLV -RTU- </t>
        </is>
      </c>
      <c r="B54" s="16" t="inlineStr">
        <is>
          <t>Flavour RTU</t>
        </is>
      </c>
      <c r="C54" s="30" t="n"/>
      <c r="D54" s="31" t="n"/>
      <c r="E54" s="60" t="inlineStr">
        <is>
          <t xml:space="preserve">253.25g </t>
        </is>
      </c>
      <c r="F54" s="31" t="n"/>
      <c r="G54" s="31" t="n"/>
      <c r="H54" s="29" t="n"/>
      <c r="I54" s="35" t="inlineStr">
        <is>
          <t xml:space="preserve">FLV -RTU- </t>
        </is>
      </c>
      <c r="J54" s="35" t="inlineStr">
        <is>
          <t>Flavour RTU</t>
        </is>
      </c>
      <c r="K54" s="51" t="inlineStr">
        <is>
          <t xml:space="preserve">253.25g </t>
        </is>
      </c>
      <c r="L54" s="52" t="n"/>
      <c r="M54" s="52" t="n"/>
      <c r="N54" s="52" t="n"/>
      <c r="O54" s="52" t="n"/>
      <c r="P54" s="34" t="n"/>
      <c r="Q54" s="35" t="inlineStr">
        <is>
          <t xml:space="preserve">FLV -RTU- </t>
        </is>
      </c>
      <c r="R54" s="35" t="inlineStr">
        <is>
          <t>Flavour RTU</t>
        </is>
      </c>
      <c r="S54" s="51" t="inlineStr">
        <is>
          <t xml:space="preserve">253.25g </t>
        </is>
      </c>
      <c r="T54" s="52" t="n"/>
      <c r="U54" s="52" t="n"/>
      <c r="V54" s="52" t="n"/>
      <c r="W54" s="52" t="n"/>
      <c r="X54" s="34" t="n"/>
      <c r="Y54" s="34" t="n"/>
      <c r="Z54" s="34" t="inlineStr">
        <is>
          <t>Variable</t>
        </is>
      </c>
      <c r="AA54" s="35" t="inlineStr">
        <is>
          <t>Flavour RTU</t>
        </is>
      </c>
      <c r="AB54" s="51" t="inlineStr">
        <is>
          <t xml:space="preserve">253.25g </t>
        </is>
      </c>
      <c r="AC54" s="52" t="n"/>
      <c r="AD54" s="52" t="n"/>
      <c r="AE54" s="52" t="n"/>
      <c r="AF54" s="20" t="n"/>
    </row>
    <row r="55" ht="15" customFormat="1" customHeight="1" s="2">
      <c r="B55" s="15" t="inlineStr">
        <is>
          <t>Options</t>
        </is>
      </c>
      <c r="C55" s="84" t="inlineStr">
        <is>
          <t>BAN , CHOC , ORG , LLM , GRP , WMN , CRM , RASP</t>
        </is>
      </c>
      <c r="H55" s="29" t="n"/>
      <c r="I55" s="34" t="n"/>
      <c r="J55" s="38" t="inlineStr">
        <is>
          <t>Options</t>
        </is>
      </c>
      <c r="K55" s="76" t="inlineStr">
        <is>
          <t>BAN , CHOC , ORG , LLM , GRP , WMN , CRM , RASP</t>
        </is>
      </c>
      <c r="P55" s="34" t="n"/>
      <c r="Q55" s="34" t="n"/>
      <c r="R55" s="38" t="inlineStr">
        <is>
          <t>Options</t>
        </is>
      </c>
      <c r="S55" s="76" t="inlineStr">
        <is>
          <t>BAN , CHOC , ORG , LLM , GRP , WMN , CRM , RASP</t>
        </is>
      </c>
      <c r="X55" s="34" t="n"/>
      <c r="Y55" s="34" t="inlineStr">
        <is>
          <t xml:space="preserve">Optional </t>
        </is>
      </c>
      <c r="Z55" s="34" t="n"/>
      <c r="AA55" s="35" t="inlineStr">
        <is>
          <t xml:space="preserve">FLV -RTU- </t>
        </is>
      </c>
      <c r="AB55" s="84" t="inlineStr">
        <is>
          <t>BAN , CHOC , ORG , LLM , GRP , WMN , CRM , RASP</t>
        </is>
      </c>
    </row>
    <row r="56" hidden="1" ht="15" customFormat="1" customHeight="1" s="57">
      <c r="A56" s="34" t="inlineStr">
        <is>
          <t>Optional</t>
        </is>
      </c>
      <c r="B56" s="35" t="n"/>
      <c r="C56" s="36" t="inlineStr">
        <is>
          <t>Low</t>
        </is>
      </c>
      <c r="D56" s="36" t="n"/>
      <c r="E56" s="36" t="inlineStr">
        <is>
          <t>Mid</t>
        </is>
      </c>
      <c r="F56" s="36" t="n"/>
      <c r="G56" s="36" t="inlineStr">
        <is>
          <t>High</t>
        </is>
      </c>
      <c r="H56" s="59" t="n"/>
      <c r="I56" s="34" t="inlineStr">
        <is>
          <t>Optional</t>
        </is>
      </c>
      <c r="J56" s="35" t="n"/>
      <c r="K56" s="36" t="inlineStr">
        <is>
          <t>Low</t>
        </is>
      </c>
      <c r="L56" s="36" t="n"/>
      <c r="M56" s="36" t="inlineStr">
        <is>
          <t>Mid</t>
        </is>
      </c>
      <c r="N56" s="36" t="n"/>
      <c r="O56" s="36" t="inlineStr">
        <is>
          <t>High</t>
        </is>
      </c>
      <c r="P56" s="34" t="n"/>
      <c r="Q56" s="34" t="inlineStr">
        <is>
          <t>Optional</t>
        </is>
      </c>
      <c r="R56" s="35" t="n"/>
      <c r="S56" s="36" t="inlineStr">
        <is>
          <t>Low</t>
        </is>
      </c>
      <c r="T56" s="36" t="n"/>
      <c r="U56" s="36" t="inlineStr">
        <is>
          <t>Mid</t>
        </is>
      </c>
      <c r="V56" s="36" t="n"/>
      <c r="W56" s="36" t="inlineStr">
        <is>
          <t>High</t>
        </is>
      </c>
      <c r="X56" s="34" t="n"/>
      <c r="Y56" s="34" t="n"/>
      <c r="Z56" s="34" t="n"/>
      <c r="AA56" s="35" t="n"/>
      <c r="AB56" s="36" t="inlineStr">
        <is>
          <t>Low</t>
        </is>
      </c>
      <c r="AC56" s="36" t="n"/>
      <c r="AD56" s="36" t="inlineStr">
        <is>
          <t>Mid</t>
        </is>
      </c>
      <c r="AE56" s="36" t="n"/>
      <c r="AF56" s="36" t="inlineStr">
        <is>
          <t>High</t>
        </is>
      </c>
      <c r="AG56" s="34" t="n"/>
    </row>
    <row r="57" hidden="1" customFormat="1" s="34">
      <c r="A57" s="116" t="inlineStr">
        <is>
          <t>????</t>
        </is>
      </c>
      <c r="B57" s="38" t="inlineStr">
        <is>
          <t>Calories</t>
        </is>
      </c>
      <c r="C57" s="39" t="n"/>
      <c r="D57" s="40" t="n"/>
      <c r="E57" s="40" t="n"/>
      <c r="F57" s="40" t="n"/>
      <c r="G57" s="40" t="n"/>
      <c r="H57" s="37" t="n"/>
      <c r="I57" s="116" t="inlineStr">
        <is>
          <t>????</t>
        </is>
      </c>
      <c r="J57" s="38" t="inlineStr">
        <is>
          <t>Calories</t>
        </is>
      </c>
      <c r="K57" s="39" t="n"/>
      <c r="L57" s="40" t="n"/>
      <c r="M57" s="40" t="n"/>
      <c r="N57" s="40" t="n"/>
      <c r="O57" s="40" t="n"/>
      <c r="Q57" s="116" t="inlineStr">
        <is>
          <t>????</t>
        </is>
      </c>
      <c r="R57" s="38" t="inlineStr">
        <is>
          <t>Calories</t>
        </is>
      </c>
      <c r="S57" s="39" t="n"/>
      <c r="T57" s="40" t="n"/>
      <c r="U57" s="40" t="n"/>
      <c r="V57" s="40" t="n"/>
      <c r="W57" s="40" t="n"/>
      <c r="Z57" s="34" t="inlineStr">
        <is>
          <t xml:space="preserve">Optional </t>
        </is>
      </c>
      <c r="AA57" s="38" t="inlineStr">
        <is>
          <t>Calories</t>
        </is>
      </c>
      <c r="AB57" s="39" t="n"/>
      <c r="AC57" s="40" t="n"/>
      <c r="AD57" s="40" t="n"/>
      <c r="AE57" s="40" t="n"/>
      <c r="AF57" s="40" t="n"/>
    </row>
    <row r="58" hidden="1" customFormat="1" s="34">
      <c r="A58" s="38" t="n"/>
      <c r="B58" s="38" t="n"/>
      <c r="C58" s="39" t="inlineStr">
        <is>
          <t xml:space="preserve">Simple Carbs </t>
        </is>
      </c>
      <c r="D58" s="40" t="n"/>
      <c r="E58" s="40" t="n"/>
      <c r="F58" s="40" t="n"/>
      <c r="G58" s="40" t="inlineStr">
        <is>
          <t>Complex Carbs</t>
        </is>
      </c>
      <c r="H58" s="37" t="n"/>
      <c r="I58" s="38" t="n"/>
      <c r="J58" s="38" t="n"/>
      <c r="K58" s="39" t="inlineStr">
        <is>
          <t xml:space="preserve">Simple Carbs </t>
        </is>
      </c>
      <c r="L58" s="40" t="n"/>
      <c r="M58" s="40" t="n"/>
      <c r="N58" s="40" t="n"/>
      <c r="O58" s="40" t="inlineStr">
        <is>
          <t>Complex Carbs</t>
        </is>
      </c>
      <c r="Q58" s="38" t="n"/>
      <c r="R58" s="38" t="n"/>
      <c r="S58" s="39" t="inlineStr">
        <is>
          <t xml:space="preserve">Simple Carbs </t>
        </is>
      </c>
      <c r="T58" s="40" t="n"/>
      <c r="U58" s="40" t="n"/>
      <c r="V58" s="40" t="n"/>
      <c r="W58" s="40" t="inlineStr">
        <is>
          <t>Complex Carbs</t>
        </is>
      </c>
      <c r="AA58" s="116" t="inlineStr">
        <is>
          <t>????</t>
        </is>
      </c>
      <c r="AB58" s="39" t="inlineStr">
        <is>
          <t xml:space="preserve">Simple Carbs </t>
        </is>
      </c>
      <c r="AC58" s="40" t="n"/>
      <c r="AD58" s="40" t="n"/>
      <c r="AE58" s="40" t="n"/>
      <c r="AF58" s="40" t="inlineStr">
        <is>
          <t>Complex Carbs</t>
        </is>
      </c>
    </row>
    <row r="59" hidden="1" ht="15" customFormat="1" customHeight="1" s="55">
      <c r="A59" s="116" t="inlineStr">
        <is>
          <t>????</t>
        </is>
      </c>
      <c r="B59" s="38" t="inlineStr">
        <is>
          <t xml:space="preserve">Carbohydrate Blend </t>
        </is>
      </c>
      <c r="C59" s="39" t="n"/>
      <c r="D59" s="41" t="n"/>
      <c r="E59" s="41" t="n"/>
      <c r="F59" s="41" t="n"/>
      <c r="G59" s="41" t="n"/>
      <c r="H59" s="58" t="n"/>
      <c r="I59" s="116" t="inlineStr">
        <is>
          <t>????</t>
        </is>
      </c>
      <c r="J59" s="38" t="inlineStr">
        <is>
          <t xml:space="preserve">Carbohydrate Blend </t>
        </is>
      </c>
      <c r="K59" s="39" t="n"/>
      <c r="L59" s="41" t="n"/>
      <c r="M59" s="41" t="n"/>
      <c r="N59" s="41" t="n"/>
      <c r="O59" s="41" t="n"/>
      <c r="P59" s="34" t="n"/>
      <c r="Q59" s="116" t="inlineStr">
        <is>
          <t>????</t>
        </is>
      </c>
      <c r="R59" s="38" t="inlineStr">
        <is>
          <t xml:space="preserve">Carbohydrate Blend </t>
        </is>
      </c>
      <c r="S59" s="39" t="n"/>
      <c r="T59" s="41" t="n"/>
      <c r="U59" s="41" t="n"/>
      <c r="V59" s="41" t="n"/>
      <c r="W59" s="41" t="n"/>
      <c r="X59" s="34" t="n"/>
      <c r="Y59" s="34" t="n"/>
      <c r="Z59" s="34" t="n"/>
      <c r="AA59" s="38" t="inlineStr">
        <is>
          <t xml:space="preserve">Carbohydrate Blend </t>
        </is>
      </c>
      <c r="AB59" s="39" t="n"/>
      <c r="AC59" s="41" t="n"/>
      <c r="AD59" s="41" t="n"/>
      <c r="AE59" s="41" t="n"/>
      <c r="AF59" s="41" t="n"/>
      <c r="AG59" s="34" t="n"/>
    </row>
    <row r="60" ht="15" customFormat="1" customHeight="1" s="2">
      <c r="A60" s="15" t="n"/>
      <c r="B60" s="15" t="n"/>
      <c r="C60" s="26" t="inlineStr">
        <is>
          <t>Low</t>
        </is>
      </c>
      <c r="D60" s="26" t="n"/>
      <c r="E60" s="26" t="inlineStr">
        <is>
          <t>Mid</t>
        </is>
      </c>
      <c r="F60" s="26" t="n"/>
      <c r="G60" s="26" t="inlineStr">
        <is>
          <t>High</t>
        </is>
      </c>
      <c r="H60" s="29" t="n"/>
      <c r="I60" s="38" t="n"/>
      <c r="J60" s="38" t="n"/>
      <c r="K60" s="40" t="inlineStr">
        <is>
          <t>Low</t>
        </is>
      </c>
      <c r="L60" s="40" t="n"/>
      <c r="M60" s="40" t="inlineStr">
        <is>
          <t>Mid</t>
        </is>
      </c>
      <c r="N60" s="40" t="n"/>
      <c r="O60" s="40" t="inlineStr">
        <is>
          <t>High</t>
        </is>
      </c>
      <c r="P60" s="34" t="n"/>
      <c r="Q60" s="38" t="n"/>
      <c r="R60" s="38" t="n"/>
      <c r="S60" s="40" t="inlineStr">
        <is>
          <t>Low</t>
        </is>
      </c>
      <c r="T60" s="40" t="n"/>
      <c r="U60" s="40" t="inlineStr">
        <is>
          <t>Mid</t>
        </is>
      </c>
      <c r="V60" s="40" t="n"/>
      <c r="W60" s="40" t="inlineStr">
        <is>
          <t>High</t>
        </is>
      </c>
      <c r="X60" s="34" t="n"/>
      <c r="Y60" s="34" t="n"/>
      <c r="Z60" s="34" t="n"/>
      <c r="AA60" s="117" t="inlineStr">
        <is>
          <t>????</t>
        </is>
      </c>
      <c r="AB60" s="40" t="inlineStr">
        <is>
          <t>Low</t>
        </is>
      </c>
      <c r="AC60" s="40" t="n"/>
      <c r="AD60" s="40" t="inlineStr">
        <is>
          <t>Mid</t>
        </is>
      </c>
      <c r="AE60" s="40" t="n"/>
      <c r="AF60" s="26" t="inlineStr">
        <is>
          <t>High</t>
        </is>
      </c>
    </row>
    <row r="61" ht="15" customFormat="1" customHeight="1" s="2">
      <c r="A61" s="24" t="inlineStr">
        <is>
          <t>RTU-ELECTROLYTE-MIX</t>
        </is>
      </c>
      <c r="B61" s="19" t="inlineStr">
        <is>
          <t>Electrolytes</t>
        </is>
      </c>
      <c r="C61" s="33" t="n">
        <v>35.33</v>
      </c>
      <c r="D61" s="33" t="n"/>
      <c r="E61" s="33" t="n">
        <v>44.02</v>
      </c>
      <c r="F61" s="33" t="n"/>
      <c r="G61" s="33" t="n">
        <v>88.04000000000001</v>
      </c>
      <c r="H61" s="29" t="n"/>
      <c r="I61" s="42" t="inlineStr">
        <is>
          <t>RTU-ELECTROLYTE-MIX</t>
        </is>
      </c>
      <c r="J61" s="42" t="inlineStr">
        <is>
          <t>Electrolytes</t>
        </is>
      </c>
      <c r="K61" s="41" t="n"/>
      <c r="L61" s="41" t="n"/>
      <c r="M61" s="41" t="n"/>
      <c r="N61" s="41" t="n"/>
      <c r="O61" s="41" t="n"/>
      <c r="P61" s="54" t="n"/>
      <c r="Q61" s="42" t="inlineStr">
        <is>
          <t>RTU-ELECTROLYTE-MIX</t>
        </is>
      </c>
      <c r="R61" s="42" t="inlineStr">
        <is>
          <t>Electrolytes</t>
        </is>
      </c>
      <c r="S61" s="41" t="n"/>
      <c r="T61" s="41" t="n"/>
      <c r="U61" s="41" t="n"/>
      <c r="V61" s="41" t="n"/>
      <c r="W61" s="41" t="n"/>
      <c r="X61" s="55" t="n"/>
      <c r="Y61" s="34" t="n"/>
      <c r="Z61" s="34" t="n"/>
      <c r="AA61" s="42" t="inlineStr">
        <is>
          <t>Electrolytes</t>
        </is>
      </c>
      <c r="AB61" s="41" t="n"/>
      <c r="AC61" s="41" t="n"/>
      <c r="AD61" s="41" t="n"/>
      <c r="AE61" s="41" t="n"/>
      <c r="AF61" s="21" t="n"/>
    </row>
    <row r="62" hidden="1" ht="15" customFormat="1" customHeight="1" s="57">
      <c r="A62" s="34" t="n"/>
      <c r="B62" s="42" t="n"/>
      <c r="C62" s="40" t="inlineStr">
        <is>
          <t>None</t>
        </is>
      </c>
      <c r="D62" s="40" t="n"/>
      <c r="E62" s="40" t="n"/>
      <c r="F62" s="40" t="n"/>
      <c r="G62" s="40" t="inlineStr">
        <is>
          <t>10g</t>
        </is>
      </c>
      <c r="H62" s="59" t="n"/>
      <c r="I62" s="34" t="n"/>
      <c r="J62" s="42" t="n"/>
      <c r="K62" s="40" t="inlineStr">
        <is>
          <t>None</t>
        </is>
      </c>
      <c r="L62" s="40" t="n"/>
      <c r="M62" s="40" t="n"/>
      <c r="N62" s="40" t="n"/>
      <c r="O62" s="40" t="inlineStr">
        <is>
          <t>10g</t>
        </is>
      </c>
      <c r="P62" s="56" t="n"/>
      <c r="Q62" s="34" t="n"/>
      <c r="R62" s="42" t="n"/>
      <c r="S62" s="40" t="inlineStr">
        <is>
          <t>None</t>
        </is>
      </c>
      <c r="T62" s="40" t="n"/>
      <c r="U62" s="40" t="n"/>
      <c r="V62" s="40" t="n"/>
      <c r="W62" s="40" t="inlineStr">
        <is>
          <t>10g</t>
        </is>
      </c>
      <c r="Y62" s="34" t="n"/>
      <c r="Z62" s="34" t="n"/>
      <c r="AA62" s="42" t="inlineStr">
        <is>
          <t>RTU-ELECTROLYTE-MIX</t>
        </is>
      </c>
      <c r="AB62" s="40" t="n"/>
      <c r="AC62" s="40" t="n"/>
      <c r="AD62" s="40" t="n"/>
      <c r="AE62" s="40" t="n"/>
      <c r="AF62" s="40" t="n"/>
      <c r="AG62" s="55" t="n"/>
    </row>
    <row r="63" hidden="1" ht="15" customFormat="1" customHeight="1" s="57">
      <c r="A63" s="116" t="inlineStr">
        <is>
          <t>????</t>
        </is>
      </c>
      <c r="B63" s="42" t="inlineStr">
        <is>
          <t>Protein</t>
        </is>
      </c>
      <c r="C63" s="41" t="n"/>
      <c r="D63" s="41" t="n"/>
      <c r="E63" s="41" t="n"/>
      <c r="F63" s="41" t="n"/>
      <c r="G63" s="41" t="n"/>
      <c r="H63" s="59" t="n"/>
      <c r="I63" s="116" t="inlineStr">
        <is>
          <t>????</t>
        </is>
      </c>
      <c r="J63" s="42" t="inlineStr">
        <is>
          <t>Protein</t>
        </is>
      </c>
      <c r="K63" s="41" t="n"/>
      <c r="L63" s="41" t="n"/>
      <c r="M63" s="41" t="n"/>
      <c r="N63" s="41" t="n"/>
      <c r="O63" s="41" t="n"/>
      <c r="P63" s="56" t="n"/>
      <c r="Q63" s="116" t="inlineStr">
        <is>
          <t>????</t>
        </is>
      </c>
      <c r="R63" s="42" t="inlineStr">
        <is>
          <t>Protein</t>
        </is>
      </c>
      <c r="S63" s="41" t="n"/>
      <c r="T63" s="41" t="n"/>
      <c r="U63" s="41" t="n"/>
      <c r="V63" s="41" t="n"/>
      <c r="W63" s="41" t="n"/>
      <c r="Y63" s="34" t="n"/>
      <c r="Z63" s="34" t="n"/>
      <c r="AA63" s="42" t="inlineStr">
        <is>
          <t>Protein</t>
        </is>
      </c>
      <c r="AB63" s="40" t="inlineStr">
        <is>
          <t>None</t>
        </is>
      </c>
      <c r="AC63" s="40" t="n"/>
      <c r="AD63" s="40" t="n"/>
      <c r="AE63" s="40" t="n"/>
      <c r="AF63" s="40" t="inlineStr">
        <is>
          <t>10g</t>
        </is>
      </c>
    </row>
    <row r="64" hidden="1" ht="15" customFormat="1" customHeight="1" s="57">
      <c r="A64" s="34" t="n"/>
      <c r="B64" s="34" t="n"/>
      <c r="C64" s="40" t="inlineStr">
        <is>
          <t>None</t>
        </is>
      </c>
      <c r="D64" s="40" t="n"/>
      <c r="E64" s="40" t="n"/>
      <c r="F64" s="40" t="n"/>
      <c r="G64" s="40" t="inlineStr">
        <is>
          <t>3g per serving</t>
        </is>
      </c>
      <c r="H64" s="59" t="n"/>
      <c r="I64" s="34" t="n"/>
      <c r="J64" s="34" t="n"/>
      <c r="K64" s="40" t="inlineStr">
        <is>
          <t>None</t>
        </is>
      </c>
      <c r="L64" s="40" t="n"/>
      <c r="M64" s="40" t="n"/>
      <c r="N64" s="40" t="n"/>
      <c r="O64" s="40" t="inlineStr">
        <is>
          <t>3g per serving</t>
        </is>
      </c>
      <c r="P64" s="56" t="n"/>
      <c r="Q64" s="34" t="n"/>
      <c r="R64" s="34" t="n"/>
      <c r="S64" s="40" t="inlineStr">
        <is>
          <t>None</t>
        </is>
      </c>
      <c r="T64" s="40" t="n"/>
      <c r="U64" s="40" t="n"/>
      <c r="V64" s="40" t="n"/>
      <c r="W64" s="40" t="inlineStr">
        <is>
          <t>3g per serving</t>
        </is>
      </c>
      <c r="Y64" s="34" t="n"/>
      <c r="Z64" s="34" t="n"/>
      <c r="AA64" s="117" t="inlineStr">
        <is>
          <t>????</t>
        </is>
      </c>
      <c r="AB64" s="41" t="n"/>
      <c r="AC64" s="41" t="n"/>
      <c r="AD64" s="41" t="n"/>
      <c r="AE64" s="41" t="n"/>
      <c r="AF64" s="41" t="n"/>
    </row>
    <row r="65" hidden="1" ht="15" customFormat="1" customHeight="1" s="57">
      <c r="A65" s="116" t="inlineStr">
        <is>
          <t>????</t>
        </is>
      </c>
      <c r="B65" s="42" t="inlineStr">
        <is>
          <t>BCAA's</t>
        </is>
      </c>
      <c r="C65" s="40" t="n"/>
      <c r="D65" s="40" t="n"/>
      <c r="E65" s="40" t="n"/>
      <c r="F65" s="40" t="n"/>
      <c r="G65" s="40" t="n"/>
      <c r="H65" s="59" t="n"/>
      <c r="I65" s="116" t="inlineStr">
        <is>
          <t>????</t>
        </is>
      </c>
      <c r="J65" s="42" t="inlineStr">
        <is>
          <t>BCAA's</t>
        </is>
      </c>
      <c r="K65" s="40" t="n"/>
      <c r="L65" s="40" t="n"/>
      <c r="M65" s="40" t="n"/>
      <c r="N65" s="40" t="n"/>
      <c r="O65" s="40" t="n"/>
      <c r="P65" s="56" t="n"/>
      <c r="Q65" s="116" t="inlineStr">
        <is>
          <t>????</t>
        </is>
      </c>
      <c r="R65" s="42" t="inlineStr">
        <is>
          <t>BCAA's</t>
        </is>
      </c>
      <c r="S65" s="40" t="n"/>
      <c r="T65" s="40" t="n"/>
      <c r="U65" s="40" t="n"/>
      <c r="V65" s="40" t="n"/>
      <c r="W65" s="40" t="n"/>
      <c r="Y65" s="34" t="n"/>
      <c r="Z65" s="34" t="n"/>
      <c r="AA65" s="42" t="inlineStr">
        <is>
          <t>BCAA's</t>
        </is>
      </c>
      <c r="AB65" s="40" t="inlineStr">
        <is>
          <t>None</t>
        </is>
      </c>
      <c r="AC65" s="40" t="n"/>
      <c r="AD65" s="40" t="n"/>
      <c r="AE65" s="40" t="n"/>
      <c r="AF65" s="40" t="inlineStr">
        <is>
          <t>3g per serving</t>
        </is>
      </c>
    </row>
    <row r="66" ht="15" customFormat="1" customHeight="1" s="2">
      <c r="C66" s="26" t="inlineStr">
        <is>
          <t>None</t>
        </is>
      </c>
      <c r="D66" s="26" t="n">
        <v>25</v>
      </c>
      <c r="E66" s="26" t="n">
        <v>50</v>
      </c>
      <c r="F66" s="26" t="n">
        <v>75</v>
      </c>
      <c r="G66" s="26" t="inlineStr">
        <is>
          <t>100mg per serving</t>
        </is>
      </c>
      <c r="H66" s="29" t="n"/>
      <c r="I66" s="34" t="n"/>
      <c r="J66" s="34" t="n"/>
      <c r="K66" s="40" t="inlineStr">
        <is>
          <t>None</t>
        </is>
      </c>
      <c r="L66" s="40" t="n"/>
      <c r="M66" s="40" t="n"/>
      <c r="N66" s="40" t="n"/>
      <c r="O66" s="40" t="inlineStr">
        <is>
          <t>200mg per serving</t>
        </is>
      </c>
      <c r="P66" s="56" t="n"/>
      <c r="Q66" s="34" t="n"/>
      <c r="R66" s="34" t="n"/>
      <c r="S66" s="40" t="inlineStr">
        <is>
          <t>None</t>
        </is>
      </c>
      <c r="T66" s="40" t="n"/>
      <c r="U66" s="40" t="n"/>
      <c r="V66" s="40" t="n"/>
      <c r="W66" s="40" t="inlineStr">
        <is>
          <t>200mg per serving</t>
        </is>
      </c>
      <c r="X66" s="57" t="n"/>
      <c r="Y66" s="34" t="n"/>
      <c r="Z66" s="34" t="n"/>
      <c r="AA66" s="117" t="inlineStr">
        <is>
          <t>????</t>
        </is>
      </c>
      <c r="AB66" s="40" t="n"/>
      <c r="AC66" s="40" t="n"/>
      <c r="AD66" s="40" t="n"/>
      <c r="AE66" s="40" t="n"/>
      <c r="AF66" s="26" t="n"/>
    </row>
    <row r="67" ht="15" customFormat="1" customHeight="1" s="2">
      <c r="A67" s="24" t="inlineStr">
        <is>
          <t>RAW-CAFFEINE</t>
        </is>
      </c>
      <c r="B67" s="19" t="inlineStr">
        <is>
          <t>Caffeine</t>
        </is>
      </c>
      <c r="C67" s="32" t="n">
        <v>0</v>
      </c>
      <c r="D67" s="32" t="n">
        <v>0.93</v>
      </c>
      <c r="E67" s="32" t="n">
        <v>1.8</v>
      </c>
      <c r="F67" s="32" t="n">
        <v>2.74</v>
      </c>
      <c r="G67" s="32" t="n">
        <v>3.6</v>
      </c>
      <c r="H67" s="29" t="n"/>
      <c r="I67" s="42" t="inlineStr">
        <is>
          <t>RAW-CAFFEINE</t>
        </is>
      </c>
      <c r="J67" s="42" t="inlineStr">
        <is>
          <t>Caffeine</t>
        </is>
      </c>
      <c r="K67" s="40" t="n"/>
      <c r="L67" s="40" t="n"/>
      <c r="M67" s="40" t="n"/>
      <c r="N67" s="40" t="n"/>
      <c r="O67" s="40" t="n"/>
      <c r="P67" s="56" t="n"/>
      <c r="Q67" s="42" t="inlineStr">
        <is>
          <t>RAW-CAFFEINE</t>
        </is>
      </c>
      <c r="R67" s="42" t="inlineStr">
        <is>
          <t>Caffeine</t>
        </is>
      </c>
      <c r="S67" s="40" t="n"/>
      <c r="T67" s="40" t="n"/>
      <c r="U67" s="40" t="n"/>
      <c r="V67" s="40" t="n"/>
      <c r="W67" s="40" t="n"/>
      <c r="X67" s="57" t="n"/>
      <c r="Y67" s="57" t="n"/>
      <c r="Z67" s="34" t="n"/>
      <c r="AA67" s="42" t="inlineStr">
        <is>
          <t>Caffeine</t>
        </is>
      </c>
      <c r="AB67" s="40" t="inlineStr">
        <is>
          <t>None</t>
        </is>
      </c>
      <c r="AC67" s="40" t="n"/>
      <c r="AD67" s="40" t="n"/>
      <c r="AE67" s="40" t="n"/>
      <c r="AF67" s="26" t="inlineStr">
        <is>
          <t>200mg per serving</t>
        </is>
      </c>
    </row>
    <row r="68" ht="15" customFormat="1" customHeight="1" s="2">
      <c r="H68" s="29" t="n"/>
      <c r="I68" s="56" t="n"/>
      <c r="J68" s="56" t="n"/>
      <c r="K68" s="56" t="n"/>
      <c r="L68" s="56" t="n"/>
      <c r="M68" s="56" t="n"/>
      <c r="N68" s="56" t="n"/>
      <c r="O68" s="56" t="n"/>
      <c r="P68" s="56" t="n"/>
      <c r="Q68" s="56" t="n"/>
      <c r="R68" s="56" t="n"/>
      <c r="S68" s="56" t="n"/>
      <c r="T68" s="56" t="n"/>
      <c r="U68" s="56" t="n"/>
      <c r="V68" s="56" t="n"/>
      <c r="W68" s="57" t="n"/>
      <c r="X68" s="57" t="n"/>
      <c r="Y68" s="57" t="n"/>
      <c r="Z68" s="57" t="n"/>
      <c r="AA68" s="57" t="n"/>
      <c r="AB68" s="57" t="n"/>
      <c r="AC68" s="57" t="n"/>
      <c r="AD68" s="57" t="n"/>
      <c r="AE68" s="57" t="n"/>
    </row>
    <row r="69" ht="15" customFormat="1" customHeight="1" s="2">
      <c r="A69" s="14" t="n"/>
      <c r="B69" s="14" t="n"/>
      <c r="C69" s="14" t="n"/>
      <c r="D69" s="14" t="n"/>
      <c r="E69" s="14" t="n"/>
      <c r="F69" s="14" t="n"/>
      <c r="G69" s="14" t="n"/>
      <c r="H69" s="27" t="n"/>
      <c r="I69" s="56" t="n"/>
      <c r="J69" s="56" t="n"/>
      <c r="K69" s="56" t="n"/>
      <c r="L69" s="56" t="n"/>
      <c r="M69" s="56" t="n"/>
      <c r="N69" s="56" t="n"/>
      <c r="O69" s="56" t="n"/>
      <c r="P69" s="56" t="n"/>
      <c r="Q69" s="56" t="n"/>
      <c r="R69" s="56" t="n"/>
      <c r="S69" s="56" t="n"/>
      <c r="T69" s="56" t="n"/>
      <c r="U69" s="56" t="n"/>
      <c r="V69" s="56" t="n"/>
      <c r="W69" s="57" t="n"/>
      <c r="X69" s="57" t="n"/>
      <c r="Y69" s="57" t="n"/>
      <c r="Z69" s="57" t="n"/>
      <c r="AA69" s="57" t="n"/>
      <c r="AB69" s="57" t="n"/>
      <c r="AC69" s="57" t="n"/>
      <c r="AD69" s="57" t="n"/>
      <c r="AE69" s="57" t="n"/>
    </row>
    <row r="70" ht="15" customFormat="1" customHeight="1" s="2">
      <c r="A70" s="1" t="n"/>
      <c r="B70" s="1" t="n"/>
      <c r="C70" s="1" t="n"/>
      <c r="D70" s="1" t="n"/>
      <c r="E70" s="1" t="n"/>
      <c r="F70" s="1" t="n"/>
      <c r="G70" s="1" t="n"/>
      <c r="H70" s="27" t="n"/>
      <c r="I70" s="56" t="n"/>
      <c r="J70" s="56" t="n"/>
      <c r="K70" s="56" t="n"/>
      <c r="L70" s="56" t="n"/>
      <c r="M70" s="56" t="n"/>
      <c r="N70" s="56" t="n"/>
      <c r="O70" s="56" t="n"/>
      <c r="P70" s="56" t="n"/>
      <c r="Q70" s="56" t="n"/>
      <c r="R70" s="56" t="n"/>
      <c r="S70" s="56" t="n"/>
      <c r="T70" s="56" t="n"/>
      <c r="U70" s="56" t="n"/>
      <c r="V70" s="56" t="n"/>
      <c r="W70" s="57" t="n"/>
      <c r="X70" s="57" t="n"/>
      <c r="Y70" s="57" t="n"/>
      <c r="Z70" s="57" t="n"/>
      <c r="AA70" s="57" t="n"/>
      <c r="AB70" s="57" t="n"/>
      <c r="AC70" s="57" t="n"/>
      <c r="AD70" s="57" t="n"/>
      <c r="AE70" s="57" t="n"/>
    </row>
    <row r="71" ht="15" customFormat="1" customHeight="1" s="2">
      <c r="A71" s="1" t="n"/>
      <c r="B71" s="1" t="n"/>
      <c r="C71" s="1" t="n"/>
      <c r="D71" s="1" t="n"/>
      <c r="E71" s="1" t="n"/>
      <c r="F71" s="1" t="n"/>
      <c r="G71" s="1" t="n"/>
      <c r="H71" s="27" t="n"/>
      <c r="I71" s="56" t="n"/>
      <c r="J71" s="56" t="n"/>
      <c r="K71" s="56" t="n"/>
      <c r="L71" s="56" t="n"/>
      <c r="M71" s="56" t="n"/>
      <c r="N71" s="56" t="n"/>
      <c r="O71" s="56" t="n"/>
      <c r="P71" s="56" t="n"/>
      <c r="Q71" s="56" t="n"/>
      <c r="R71" s="56" t="n"/>
      <c r="S71" s="56" t="n"/>
      <c r="T71" s="56" t="n"/>
      <c r="U71" s="56" t="n"/>
      <c r="V71" s="56" t="n"/>
      <c r="W71" s="57" t="n"/>
      <c r="X71" s="57" t="n"/>
      <c r="Y71" s="57" t="n"/>
      <c r="Z71" s="57" t="n"/>
      <c r="AA71" s="57" t="n"/>
      <c r="AB71" s="57" t="n"/>
      <c r="AC71" s="57" t="n"/>
      <c r="AD71" s="57" t="n"/>
      <c r="AE71" s="57" t="n"/>
    </row>
    <row r="72" ht="15" customFormat="1" customHeight="1" s="2">
      <c r="A72" s="1" t="n"/>
      <c r="B72" s="1" t="n"/>
      <c r="C72" s="1" t="n"/>
      <c r="D72" s="1" t="n"/>
      <c r="E72" s="1" t="n"/>
      <c r="F72" s="1" t="n"/>
      <c r="G72" s="1" t="n"/>
      <c r="H72" s="27" t="n"/>
      <c r="I72" s="56" t="n"/>
      <c r="J72" s="56" t="n"/>
      <c r="K72" s="56" t="n"/>
      <c r="L72" s="56" t="n"/>
      <c r="M72" s="56" t="n"/>
      <c r="N72" s="56" t="n"/>
      <c r="O72" s="56" t="n"/>
      <c r="P72" s="56" t="n"/>
      <c r="Q72" s="56" t="n"/>
      <c r="R72" s="56" t="n"/>
      <c r="S72" s="56" t="n"/>
      <c r="T72" s="56" t="n"/>
      <c r="U72" s="56" t="n"/>
      <c r="V72" s="56" t="n"/>
      <c r="W72" s="57" t="n"/>
      <c r="X72" s="57" t="n"/>
      <c r="Y72" s="57" t="n"/>
      <c r="Z72" s="57" t="n"/>
      <c r="AA72" s="57" t="n"/>
      <c r="AB72" s="57" t="n"/>
      <c r="AC72" s="57" t="n"/>
      <c r="AD72" s="57" t="n"/>
      <c r="AE72" s="57" t="n"/>
    </row>
    <row r="73" ht="15" customFormat="1" customHeight="1" s="2">
      <c r="A73" s="1" t="n"/>
      <c r="B73" s="1" t="n"/>
      <c r="C73" s="1" t="n"/>
      <c r="D73" s="1" t="n"/>
      <c r="E73" s="1" t="n"/>
      <c r="F73" s="1" t="n"/>
      <c r="G73" s="1" t="n"/>
      <c r="H73" s="27" t="n"/>
      <c r="I73" s="56" t="n"/>
      <c r="J73" s="56" t="n"/>
      <c r="K73" s="56" t="n"/>
      <c r="L73" s="56" t="n"/>
      <c r="M73" s="56" t="n"/>
      <c r="N73" s="56" t="n"/>
      <c r="O73" s="56" t="n"/>
      <c r="P73" s="56" t="n"/>
      <c r="Q73" s="56" t="n"/>
      <c r="R73" s="56" t="n"/>
      <c r="S73" s="56" t="n"/>
      <c r="T73" s="56" t="n"/>
      <c r="U73" s="56" t="n"/>
      <c r="V73" s="56" t="n"/>
      <c r="W73" s="57" t="n"/>
      <c r="X73" s="57" t="n"/>
      <c r="Y73" s="57" t="n"/>
      <c r="Z73" s="57" t="n"/>
      <c r="AA73" s="57" t="n"/>
      <c r="AB73" s="57" t="n"/>
      <c r="AC73" s="57" t="n"/>
      <c r="AD73" s="57" t="n"/>
      <c r="AE73" s="57" t="n"/>
    </row>
    <row r="74" ht="15" customFormat="1" customHeight="1" s="2">
      <c r="A74" s="1" t="n"/>
      <c r="B74" s="1" t="n"/>
      <c r="C74" s="1" t="n"/>
      <c r="D74" s="1" t="n"/>
      <c r="E74" s="1" t="n"/>
      <c r="F74" s="1" t="n"/>
      <c r="G74" s="1" t="n"/>
      <c r="H74" s="27" t="n"/>
      <c r="I74" s="56" t="n"/>
      <c r="J74" s="56" t="n"/>
      <c r="K74" s="56" t="n"/>
      <c r="L74" s="56" t="n"/>
      <c r="M74" s="56" t="n"/>
      <c r="N74" s="56" t="n"/>
      <c r="O74" s="56" t="n"/>
      <c r="P74" s="56" t="n"/>
      <c r="Q74" s="56" t="n"/>
      <c r="R74" s="56" t="n"/>
      <c r="S74" s="56" t="n"/>
      <c r="T74" s="56" t="n"/>
      <c r="U74" s="56" t="n"/>
      <c r="V74" s="56" t="n"/>
      <c r="W74" s="57" t="n"/>
      <c r="X74" s="57" t="n"/>
      <c r="Y74" s="57" t="n"/>
      <c r="Z74" s="57" t="n"/>
      <c r="AA74" s="57" t="n"/>
      <c r="AB74" s="57" t="n"/>
      <c r="AC74" s="57" t="n"/>
      <c r="AD74" s="57" t="n"/>
      <c r="AE74" s="57" t="n"/>
    </row>
    <row r="75" ht="15" customFormat="1" customHeight="1" s="2">
      <c r="A75" s="1" t="n"/>
      <c r="D75" s="1" t="n"/>
      <c r="E75" s="1" t="n"/>
      <c r="F75" s="1" t="n"/>
      <c r="G75" s="1" t="n"/>
      <c r="H75" s="27" t="n"/>
      <c r="I75" s="56" t="n"/>
      <c r="J75" s="56" t="n"/>
      <c r="K75" s="56" t="n"/>
      <c r="L75" s="56" t="n"/>
      <c r="M75" s="56" t="n"/>
      <c r="N75" s="56" t="n"/>
      <c r="O75" s="56" t="n"/>
      <c r="P75" s="56" t="n"/>
      <c r="Q75" s="56" t="n"/>
      <c r="R75" s="56" t="n"/>
      <c r="S75" s="56" t="n"/>
      <c r="T75" s="56" t="n"/>
      <c r="U75" s="56" t="n"/>
      <c r="V75" s="56" t="n"/>
      <c r="W75" s="57" t="n"/>
      <c r="X75" s="57" t="n"/>
      <c r="Y75" s="57" t="n"/>
      <c r="Z75" s="57" t="n"/>
      <c r="AA75" s="57" t="n"/>
      <c r="AB75" s="57" t="n"/>
      <c r="AC75" s="57" t="n"/>
      <c r="AD75" s="57" t="n"/>
      <c r="AE75" s="57" t="n"/>
    </row>
    <row r="76" ht="15" customFormat="1" customHeight="1" s="2">
      <c r="A76" s="1" t="n"/>
      <c r="D76" s="1" t="n"/>
      <c r="E76" s="1" t="n"/>
      <c r="F76" s="1" t="n"/>
      <c r="G76" s="1" t="n"/>
      <c r="H76" s="27" t="n"/>
      <c r="I76" s="56" t="n"/>
      <c r="J76" s="56" t="n"/>
      <c r="K76" s="56" t="n"/>
      <c r="L76" s="56" t="n"/>
      <c r="M76" s="56" t="n"/>
      <c r="N76" s="56" t="n"/>
      <c r="O76" s="56" t="n"/>
      <c r="P76" s="56" t="n"/>
      <c r="Q76" s="56" t="n"/>
      <c r="R76" s="56" t="n"/>
      <c r="S76" s="56" t="n"/>
      <c r="T76" s="56" t="n"/>
      <c r="U76" s="56" t="n"/>
      <c r="V76" s="56" t="n"/>
      <c r="W76" s="57" t="n"/>
      <c r="X76" s="57" t="n"/>
      <c r="Y76" s="57" t="n"/>
      <c r="Z76" s="57" t="n"/>
      <c r="AA76" s="57" t="n"/>
      <c r="AB76" s="57" t="n"/>
      <c r="AC76" s="57" t="n"/>
      <c r="AD76" s="57" t="n"/>
      <c r="AE76" s="57" t="n"/>
    </row>
    <row r="77" ht="15" customFormat="1" customHeight="1" s="2">
      <c r="A77" s="1" t="n"/>
      <c r="B77" s="5" t="n"/>
      <c r="C77" s="5" t="n"/>
      <c r="D77" s="1" t="n"/>
      <c r="E77" s="1" t="n"/>
      <c r="F77" s="1" t="n"/>
      <c r="G77" s="1" t="n"/>
      <c r="H77" s="27" t="n"/>
      <c r="I77" s="56" t="n"/>
      <c r="J77" s="56" t="n"/>
      <c r="K77" s="56" t="n"/>
      <c r="L77" s="56" t="n"/>
      <c r="M77" s="56" t="n"/>
      <c r="N77" s="56" t="n"/>
      <c r="O77" s="56" t="n"/>
      <c r="P77" s="56" t="n"/>
      <c r="Q77" s="56" t="n"/>
      <c r="R77" s="56" t="n"/>
      <c r="S77" s="56" t="n"/>
      <c r="T77" s="56" t="n"/>
      <c r="U77" s="56" t="n"/>
      <c r="V77" s="56" t="n"/>
      <c r="W77" s="57" t="n"/>
      <c r="X77" s="57" t="n"/>
      <c r="Y77" s="57" t="n"/>
      <c r="Z77" s="57" t="n"/>
      <c r="AA77" s="57" t="n"/>
      <c r="AB77" s="57" t="n"/>
      <c r="AC77" s="57" t="n"/>
      <c r="AD77" s="57" t="n"/>
      <c r="AE77" s="57" t="n"/>
    </row>
    <row r="78" ht="15" customFormat="1" customHeight="1" s="2">
      <c r="A78" s="1" t="n"/>
      <c r="B78" s="1" t="n"/>
      <c r="C78" s="1" t="n"/>
      <c r="D78" s="1" t="n"/>
      <c r="E78" s="1" t="n"/>
      <c r="F78" s="1" t="n"/>
      <c r="G78" s="1" t="n"/>
      <c r="H78" s="27" t="n"/>
      <c r="I78" s="34" t="n"/>
      <c r="J78" s="34" t="n"/>
      <c r="K78" s="34" t="n"/>
      <c r="L78" s="34" t="n"/>
      <c r="M78" s="34" t="n"/>
      <c r="N78" s="34" t="n"/>
      <c r="O78" s="34" t="n"/>
      <c r="P78" s="34" t="n"/>
      <c r="Q78" s="34" t="n"/>
      <c r="R78" s="34" t="n"/>
      <c r="S78" s="34" t="n"/>
      <c r="T78" s="34" t="n"/>
      <c r="U78" s="34" t="n"/>
      <c r="V78" s="34" t="n"/>
      <c r="W78" s="34" t="n"/>
      <c r="X78" s="34" t="n"/>
      <c r="Y78" s="34" t="n"/>
      <c r="Z78" s="34" t="n"/>
      <c r="AA78" s="34" t="n"/>
      <c r="AB78" s="34" t="n"/>
      <c r="AC78" s="34" t="n"/>
      <c r="AD78" s="34" t="n"/>
      <c r="AE78" s="34" t="n"/>
    </row>
    <row r="79" ht="15.75" customHeight="1">
      <c r="A79" s="1" t="n"/>
      <c r="B79" s="1" t="n"/>
      <c r="C79" s="1" t="n"/>
      <c r="D79" s="1" t="n"/>
      <c r="E79" s="1" t="n"/>
      <c r="F79" s="1" t="n"/>
      <c r="G79" s="1" t="n"/>
    </row>
    <row r="80" ht="15.75" customHeight="1">
      <c r="A80" s="6" t="n"/>
      <c r="B80" s="1" t="n"/>
      <c r="C80" s="1" t="n"/>
      <c r="D80" s="1" t="n"/>
      <c r="E80" s="1" t="n"/>
      <c r="F80" s="1" t="n"/>
      <c r="G80" s="1" t="n"/>
    </row>
    <row r="81" ht="15.75" customHeight="1">
      <c r="A81" s="1" t="n"/>
      <c r="B81" s="5" t="n"/>
      <c r="C81" s="5" t="n"/>
      <c r="D81" s="6" t="n"/>
      <c r="E81" s="6" t="n"/>
      <c r="F81" s="1" t="n"/>
      <c r="G81" s="1" t="n"/>
    </row>
    <row r="82" ht="15.75" customHeight="1">
      <c r="A82" s="1" t="n"/>
      <c r="B82" s="6" t="n"/>
      <c r="C82" s="6" t="n"/>
      <c r="D82" s="6" t="n"/>
      <c r="E82" s="6" t="n"/>
      <c r="F82" s="1" t="n"/>
      <c r="G82" s="1" t="n"/>
    </row>
    <row r="83" ht="15.75" customHeight="1">
      <c r="A83" s="1" t="n"/>
      <c r="B83" s="1" t="n"/>
      <c r="C83" s="1" t="n"/>
      <c r="D83" s="1" t="n"/>
      <c r="E83" s="1" t="n"/>
      <c r="F83" s="1" t="n"/>
      <c r="G83" s="1" t="n"/>
    </row>
    <row r="84" ht="15.75" customHeight="1">
      <c r="A84" s="6" t="n"/>
      <c r="B84" s="1" t="n"/>
      <c r="C84" s="1" t="n"/>
      <c r="D84" s="1" t="n"/>
      <c r="E84" s="1" t="n"/>
      <c r="F84" s="1" t="n"/>
      <c r="G84" s="1" t="n"/>
    </row>
    <row r="85" ht="15.75" customHeight="1">
      <c r="A85" s="1" t="n"/>
      <c r="B85" s="5" t="n"/>
      <c r="C85" s="5" t="n"/>
      <c r="D85" s="6" t="n"/>
      <c r="E85" s="6" t="n"/>
      <c r="F85" s="1" t="n"/>
      <c r="G85" s="1" t="n"/>
    </row>
    <row r="86" ht="15.75" customHeight="1">
      <c r="A86" s="1" t="n"/>
      <c r="B86" s="6" t="n"/>
      <c r="C86" s="6" t="n"/>
      <c r="D86" s="6" t="n"/>
      <c r="E86" s="6" t="n"/>
      <c r="F86" s="1" t="n"/>
      <c r="G86" s="1" t="n"/>
    </row>
    <row r="87" ht="15.75" customHeight="1">
      <c r="A87" s="1" t="n"/>
      <c r="B87" s="1" t="n"/>
      <c r="C87" s="1" t="n"/>
      <c r="D87" s="1" t="n"/>
      <c r="E87" s="1" t="n"/>
      <c r="F87" s="1" t="n"/>
      <c r="G87" s="1" t="n"/>
    </row>
    <row r="90" ht="15.75" customHeight="1">
      <c r="A90" s="14" t="n"/>
      <c r="B90" s="14" t="n"/>
      <c r="C90" s="14" t="n"/>
      <c r="D90" s="14" t="n"/>
      <c r="E90" s="14" t="n"/>
      <c r="F90" s="14" t="n"/>
      <c r="G90" s="14" t="n"/>
    </row>
    <row r="91" ht="15.75" customHeight="1">
      <c r="A91" s="1" t="n"/>
      <c r="B91" s="1" t="n"/>
      <c r="C91" s="1" t="n"/>
      <c r="D91" s="1" t="n"/>
      <c r="E91" s="1" t="n"/>
      <c r="F91" s="1" t="n"/>
      <c r="G91" s="1" t="n"/>
    </row>
    <row r="92" ht="15.75" customHeight="1">
      <c r="A92" s="1" t="n"/>
      <c r="B92" s="1" t="n"/>
      <c r="C92" s="1" t="n"/>
      <c r="D92" s="1" t="n"/>
      <c r="E92" s="1" t="n"/>
      <c r="F92" s="1" t="n"/>
      <c r="G92" s="1" t="n"/>
    </row>
    <row r="93" ht="15.75" customHeight="1">
      <c r="A93" s="1" t="n"/>
      <c r="B93" s="1" t="n"/>
      <c r="C93" s="1" t="n"/>
      <c r="D93" s="1" t="n"/>
      <c r="E93" s="1" t="n"/>
      <c r="F93" s="1" t="n"/>
      <c r="G93" s="1" t="n"/>
    </row>
    <row r="94" ht="15.75" customHeight="1">
      <c r="A94" s="1" t="n"/>
      <c r="B94" s="1" t="n"/>
      <c r="C94" s="1" t="n"/>
      <c r="D94" s="1" t="n"/>
      <c r="E94" s="1" t="n"/>
      <c r="F94" s="1" t="n"/>
      <c r="G94" s="1" t="n"/>
    </row>
    <row r="95" ht="15.75" customHeight="1">
      <c r="A95" s="1" t="n"/>
      <c r="B95" s="1" t="n"/>
      <c r="C95" s="1" t="n"/>
      <c r="D95" s="1" t="n"/>
      <c r="E95" s="1" t="n"/>
      <c r="F95" s="1" t="n"/>
      <c r="G95" s="1" t="n"/>
    </row>
    <row r="96" ht="15.75" customHeight="1">
      <c r="A96" s="1" t="n"/>
      <c r="B96" s="1" t="n"/>
      <c r="C96" s="1" t="n"/>
      <c r="D96" s="1" t="n"/>
      <c r="E96" s="1" t="n"/>
      <c r="F96" s="1" t="n"/>
      <c r="G96" s="1" t="n"/>
    </row>
    <row r="97" ht="15.75" customHeight="1">
      <c r="A97" s="1" t="n"/>
      <c r="B97" s="1" t="n"/>
      <c r="C97" s="1" t="n"/>
      <c r="D97" s="1" t="n"/>
      <c r="E97" s="1" t="n"/>
      <c r="F97" s="1" t="n"/>
      <c r="G97" s="1" t="n"/>
    </row>
    <row r="98" ht="15.75" customHeight="1">
      <c r="A98" s="1" t="n"/>
      <c r="B98" s="2" t="n"/>
      <c r="C98" s="2" t="n"/>
      <c r="D98" s="1" t="n"/>
      <c r="E98" s="1" t="n"/>
      <c r="F98" s="1" t="n"/>
      <c r="G98" s="1" t="n"/>
    </row>
    <row r="99" ht="15.75" customHeight="1">
      <c r="A99" s="1" t="n"/>
      <c r="B99" s="2" t="n"/>
      <c r="C99" s="2" t="n"/>
      <c r="D99" s="1" t="n"/>
      <c r="E99" s="1" t="n"/>
      <c r="F99" s="1" t="n"/>
      <c r="G99" s="1" t="n"/>
    </row>
    <row r="100" ht="15.75" customHeight="1">
      <c r="A100" s="1" t="n"/>
      <c r="B100" s="5" t="n"/>
      <c r="C100" s="5" t="n"/>
      <c r="D100" s="1" t="n"/>
      <c r="E100" s="1" t="n"/>
      <c r="F100" s="1" t="n"/>
      <c r="G100" s="1" t="n"/>
    </row>
    <row r="101" ht="15.75" customHeight="1">
      <c r="A101" s="1" t="n"/>
      <c r="B101" s="1" t="n"/>
      <c r="C101" s="1" t="n"/>
      <c r="D101" s="1" t="n"/>
      <c r="E101" s="1" t="n"/>
      <c r="F101" s="1" t="n"/>
      <c r="G101" s="1" t="n"/>
    </row>
    <row r="102" ht="15.75" customHeight="1">
      <c r="A102" s="1" t="n"/>
      <c r="B102" s="1" t="n"/>
      <c r="C102" s="1" t="n"/>
      <c r="D102" s="1" t="n"/>
      <c r="E102" s="1" t="n"/>
      <c r="F102" s="1" t="n"/>
      <c r="G102" s="1" t="n"/>
    </row>
    <row r="103" ht="15.75" customHeight="1">
      <c r="A103" s="6" t="n"/>
      <c r="B103" s="1" t="n"/>
      <c r="C103" s="1" t="n"/>
      <c r="D103" s="1" t="n"/>
      <c r="E103" s="1" t="n"/>
      <c r="F103" s="1" t="n"/>
      <c r="G103" s="1" t="n"/>
    </row>
    <row r="104" ht="15.75" customHeight="1">
      <c r="A104" s="1" t="n"/>
      <c r="B104" s="5" t="n"/>
      <c r="C104" s="5" t="n"/>
      <c r="D104" s="6" t="n"/>
      <c r="E104" s="6" t="n"/>
      <c r="F104" s="1" t="n"/>
      <c r="G104" s="1" t="n"/>
    </row>
    <row r="105" ht="15.75" customHeight="1">
      <c r="A105" s="1" t="n"/>
      <c r="B105" s="6" t="n"/>
      <c r="C105" s="6" t="n"/>
      <c r="D105" s="6" t="n"/>
      <c r="E105" s="6" t="n"/>
      <c r="F105" s="1" t="n"/>
      <c r="G105" s="1" t="n"/>
    </row>
    <row r="106" ht="15.75" customHeight="1">
      <c r="A106" s="1" t="n"/>
      <c r="B106" s="1" t="n"/>
      <c r="C106" s="1" t="n"/>
      <c r="D106" s="1" t="n"/>
      <c r="E106" s="1" t="n"/>
      <c r="F106" s="1" t="n"/>
      <c r="G106" s="1" t="n"/>
    </row>
    <row r="107" ht="15.75" customHeight="1">
      <c r="A107" s="6" t="n"/>
      <c r="B107" s="1" t="n"/>
      <c r="C107" s="1" t="n"/>
      <c r="D107" s="1" t="n"/>
      <c r="E107" s="1" t="n"/>
      <c r="F107" s="1" t="n"/>
      <c r="G107" s="1" t="n"/>
    </row>
    <row r="108" ht="15.75" customHeight="1">
      <c r="A108" s="1" t="n"/>
      <c r="B108" s="5" t="n"/>
      <c r="C108" s="5" t="n"/>
      <c r="D108" s="6" t="n"/>
      <c r="E108" s="6" t="n"/>
      <c r="F108" s="1" t="n"/>
      <c r="G108" s="1" t="n"/>
    </row>
    <row r="109" ht="15.75" customHeight="1">
      <c r="A109" s="1" t="n"/>
      <c r="B109" s="6" t="n"/>
      <c r="C109" s="6" t="n"/>
      <c r="D109" s="6" t="n"/>
      <c r="E109" s="6" t="n"/>
      <c r="F109" s="1" t="n"/>
      <c r="G109" s="1" t="n"/>
    </row>
    <row r="110" ht="15.75" customHeight="1">
      <c r="A110" s="1" t="n"/>
      <c r="B110" s="1" t="n"/>
      <c r="C110" s="1" t="n"/>
      <c r="D110" s="1" t="n"/>
      <c r="E110" s="1" t="n"/>
      <c r="F110" s="1" t="n"/>
      <c r="G110" s="1" t="n"/>
    </row>
  </sheetData>
  <mergeCells count="64">
    <mergeCell ref="S51:W51"/>
    <mergeCell ref="Z25:AE25"/>
    <mergeCell ref="C6:G6"/>
    <mergeCell ref="AA29:AE29"/>
    <mergeCell ref="AB55:AF55"/>
    <mergeCell ref="AA52:AE52"/>
    <mergeCell ref="C5:G5"/>
    <mergeCell ref="AA28:AE28"/>
    <mergeCell ref="Z3:AE3"/>
    <mergeCell ref="K5:O5"/>
    <mergeCell ref="D29:G29"/>
    <mergeCell ref="D51:G51"/>
    <mergeCell ref="AA27:AE27"/>
    <mergeCell ref="S27:W27"/>
    <mergeCell ref="K55:O55"/>
    <mergeCell ref="S52:W52"/>
    <mergeCell ref="K26:O26"/>
    <mergeCell ref="C4:G4"/>
    <mergeCell ref="J25:O25"/>
    <mergeCell ref="K29:O29"/>
    <mergeCell ref="D26:G26"/>
    <mergeCell ref="K51:O51"/>
    <mergeCell ref="C10:G10"/>
    <mergeCell ref="R3:W3"/>
    <mergeCell ref="D50:G50"/>
    <mergeCell ref="Z48:AE48"/>
    <mergeCell ref="AA49:AE49"/>
    <mergeCell ref="K32:O32"/>
    <mergeCell ref="K50:O50"/>
    <mergeCell ref="C55:G55"/>
    <mergeCell ref="S28:W28"/>
    <mergeCell ref="J3:O3"/>
    <mergeCell ref="AA26:AE26"/>
    <mergeCell ref="A1:J1"/>
    <mergeCell ref="S49:W49"/>
    <mergeCell ref="K52:O52"/>
    <mergeCell ref="AA32:AE32"/>
    <mergeCell ref="S10:W10"/>
    <mergeCell ref="D52:G52"/>
    <mergeCell ref="J48:O48"/>
    <mergeCell ref="K27:O27"/>
    <mergeCell ref="D49:G49"/>
    <mergeCell ref="R48:W48"/>
    <mergeCell ref="D27:G27"/>
    <mergeCell ref="B25:G25"/>
    <mergeCell ref="B3:G3"/>
    <mergeCell ref="AA50:AE50"/>
    <mergeCell ref="C7:G7"/>
    <mergeCell ref="S55:W55"/>
    <mergeCell ref="K7:O7"/>
    <mergeCell ref="C32:G32"/>
    <mergeCell ref="AA51:AE51"/>
    <mergeCell ref="S29:W29"/>
    <mergeCell ref="K10:O10"/>
    <mergeCell ref="K28:O28"/>
    <mergeCell ref="K6:O6"/>
    <mergeCell ref="S32:W32"/>
    <mergeCell ref="S50:W50"/>
    <mergeCell ref="B48:G48"/>
    <mergeCell ref="S26:W26"/>
    <mergeCell ref="K4:O4"/>
    <mergeCell ref="D28:G28"/>
    <mergeCell ref="R25:W25"/>
    <mergeCell ref="K49:O49"/>
  </mergeCells>
  <pageMargins left="0.7" right="0.7" top="0.75" bottom="0.75" header="0.3" footer="0.3"/>
  <pageSetup orientation="landscape" paperSize="9"/>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fitToPage="1"/>
  </sheetPr>
  <dimension ref="A1:AA1018"/>
  <sheetViews>
    <sheetView workbookViewId="0">
      <selection activeCell="G10" sqref="G10"/>
    </sheetView>
  </sheetViews>
  <sheetFormatPr baseColWidth="8" defaultColWidth="12.5703125" defaultRowHeight="15" customHeight="1"/>
  <cols>
    <col width="53.140625" bestFit="1" customWidth="1" style="2" min="1" max="1"/>
    <col width="12.5703125" customWidth="1" style="2" min="2" max="16384"/>
  </cols>
  <sheetData>
    <row r="1" ht="15" customFormat="1" customHeight="1" s="63">
      <c r="A1" s="9" t="inlineStr">
        <is>
          <t>Premium Fuel Boosts</t>
        </is>
      </c>
      <c r="B1" s="62" t="n"/>
      <c r="C1" s="62" t="n"/>
      <c r="D1" s="62" t="n"/>
      <c r="E1" s="62" t="n"/>
      <c r="F1" s="62" t="n"/>
      <c r="G1" s="62" t="n"/>
      <c r="H1" s="62" t="n"/>
      <c r="I1" s="62" t="n"/>
      <c r="J1" s="62" t="n"/>
      <c r="K1" s="62" t="n"/>
      <c r="L1" s="62" t="n"/>
      <c r="M1" s="62" t="n"/>
      <c r="N1" s="62" t="n"/>
      <c r="O1" s="62" t="n"/>
      <c r="P1" s="62" t="n"/>
      <c r="Q1" s="62" t="n"/>
      <c r="R1" s="62" t="n"/>
      <c r="S1" s="62" t="n"/>
      <c r="T1" s="62" t="n"/>
      <c r="U1" s="62" t="n"/>
      <c r="V1" s="62" t="n"/>
      <c r="W1" s="62" t="n"/>
      <c r="X1" s="62" t="n"/>
      <c r="Y1" s="62" t="n"/>
      <c r="Z1" s="62" t="n"/>
      <c r="AA1" s="62" t="n"/>
    </row>
    <row r="2" ht="15" customHeight="1">
      <c r="A2" s="1" t="n"/>
      <c r="B2" s="125" t="inlineStr">
        <is>
          <t>Per Serving (g)</t>
        </is>
      </c>
      <c r="C2" s="126" t="inlineStr">
        <is>
          <t>25 Serving (g)</t>
        </is>
      </c>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row>
    <row r="3" ht="15" customHeight="1">
      <c r="A3" s="1" t="inlineStr">
        <is>
          <t>Microactive CoQ10</t>
        </is>
      </c>
      <c r="B3" s="1" t="n">
        <v>0.155</v>
      </c>
      <c r="C3" s="1" t="n">
        <v>3.875</v>
      </c>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row>
    <row r="4" ht="15" customHeight="1">
      <c r="A4" s="1" t="inlineStr">
        <is>
          <t>Beta-alanine</t>
        </is>
      </c>
      <c r="B4" s="1" t="n">
        <v>0.725</v>
      </c>
      <c r="C4" s="1" t="n">
        <v>18.125</v>
      </c>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row>
    <row r="5" ht="15" customHeight="1">
      <c r="A5" s="1" t="inlineStr">
        <is>
          <t>Creatine Monohydrate</t>
        </is>
      </c>
      <c r="B5" s="1" t="n">
        <v>0.4</v>
      </c>
      <c r="C5" s="1" t="n">
        <v>10</v>
      </c>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row>
    <row r="6" ht="1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row>
    <row r="7" ht="15" customFormat="1" customHeight="1" s="12">
      <c r="A7" s="137" t="inlineStr">
        <is>
          <t>Custom Hydration Boosts</t>
        </is>
      </c>
      <c r="B7" s="65" t="inlineStr">
        <is>
          <t>Nil to Total</t>
        </is>
      </c>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row>
    <row r="8" ht="15" customHeight="1">
      <c r="A8" s="1" t="n"/>
      <c r="B8" s="126" t="inlineStr">
        <is>
          <t>Per Serving (g)</t>
        </is>
      </c>
      <c r="C8" s="126" t="inlineStr">
        <is>
          <t>5 Serving (g)</t>
        </is>
      </c>
      <c r="D8" s="126" t="inlineStr">
        <is>
          <t>12 Serving (g)</t>
        </is>
      </c>
      <c r="E8" s="126" t="inlineStr">
        <is>
          <t>25 Serving (g)</t>
        </is>
      </c>
      <c r="F8" s="1" t="n"/>
      <c r="G8" s="1" t="n"/>
      <c r="H8" s="1" t="n"/>
      <c r="I8" s="1" t="n"/>
      <c r="J8" s="1" t="n"/>
      <c r="K8" s="1" t="n"/>
      <c r="L8" s="1" t="n"/>
      <c r="M8" s="1" t="n"/>
      <c r="N8" s="1" t="n"/>
      <c r="O8" s="1" t="n"/>
      <c r="P8" s="1" t="n"/>
      <c r="Q8" s="1" t="n"/>
      <c r="R8" s="1" t="n"/>
      <c r="S8" s="1" t="n"/>
      <c r="T8" s="1" t="n"/>
      <c r="U8" s="1" t="n"/>
      <c r="V8" s="1" t="n"/>
      <c r="W8" s="1" t="n"/>
      <c r="X8" s="1" t="n"/>
      <c r="Y8" s="1" t="n"/>
      <c r="Z8" s="1" t="n"/>
      <c r="AA8" s="1" t="n"/>
    </row>
    <row r="9" ht="15" customHeight="1">
      <c r="A9" s="1" t="inlineStr">
        <is>
          <t>Protein</t>
        </is>
      </c>
      <c r="B9" s="1" t="n">
        <v>10</v>
      </c>
      <c r="C9" s="1" t="n">
        <v>50</v>
      </c>
      <c r="D9" s="1" t="n">
        <v>120</v>
      </c>
      <c r="E9" s="1" t="n">
        <v>250</v>
      </c>
      <c r="F9" s="1" t="n"/>
      <c r="G9" s="1" t="n"/>
      <c r="H9" s="1" t="n"/>
      <c r="I9" s="1" t="n"/>
      <c r="J9" s="1" t="n"/>
      <c r="K9" s="1" t="n"/>
      <c r="L9" s="1" t="n"/>
      <c r="M9" s="1" t="n"/>
      <c r="N9" s="1" t="n"/>
      <c r="O9" s="1" t="n"/>
      <c r="P9" s="1" t="n"/>
      <c r="Q9" s="1" t="n"/>
      <c r="R9" s="1" t="n"/>
      <c r="S9" s="1" t="n"/>
      <c r="T9" s="1" t="n"/>
      <c r="U9" s="1" t="n"/>
      <c r="V9" s="1" t="n"/>
      <c r="W9" s="1" t="n"/>
      <c r="X9" s="1" t="n"/>
      <c r="Y9" s="1" t="n"/>
      <c r="Z9" s="1" t="n"/>
      <c r="AA9" s="1" t="n"/>
    </row>
    <row r="10" ht="15" customHeight="1">
      <c r="A10" s="127" t="inlineStr">
        <is>
          <t>BCAA's (Leucine, Isoleucine, and Valine)</t>
        </is>
      </c>
      <c r="B10" s="127" t="n">
        <v>3</v>
      </c>
      <c r="C10" s="127" t="n">
        <v>15</v>
      </c>
      <c r="D10" s="127" t="n">
        <v>36</v>
      </c>
      <c r="E10" s="127" t="n">
        <v>75</v>
      </c>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row>
    <row r="11" ht="15" customHeight="1">
      <c r="A11" s="1" t="inlineStr">
        <is>
          <t>Leucine</t>
        </is>
      </c>
      <c r="B11" s="1" t="n">
        <v>1.5</v>
      </c>
      <c r="C11" s="1">
        <f>B11*5</f>
        <v/>
      </c>
      <c r="D11" s="1">
        <f>B11*12</f>
        <v/>
      </c>
      <c r="E11" s="1">
        <f>B11*25</f>
        <v/>
      </c>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row>
    <row r="12" ht="15" customHeight="1">
      <c r="A12" s="1" t="inlineStr">
        <is>
          <t>Isoleucine</t>
        </is>
      </c>
      <c r="B12" s="1" t="n">
        <v>0.75</v>
      </c>
      <c r="C12" s="1">
        <f>B12*5</f>
        <v/>
      </c>
      <c r="D12" s="1">
        <f>B12*12</f>
        <v/>
      </c>
      <c r="E12" s="1">
        <f>B12*25</f>
        <v/>
      </c>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row>
    <row r="13" ht="15" customHeight="1">
      <c r="A13" s="1" t="inlineStr">
        <is>
          <t>Valine</t>
        </is>
      </c>
      <c r="B13" s="1" t="n">
        <v>0.75</v>
      </c>
      <c r="C13" s="1">
        <f>B13*5</f>
        <v/>
      </c>
      <c r="D13" s="1">
        <f>B13*12</f>
        <v/>
      </c>
      <c r="E13" s="1">
        <f>B13*25</f>
        <v/>
      </c>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row>
    <row r="14" ht="15" customHeight="1">
      <c r="A14" s="127" t="inlineStr">
        <is>
          <t>Electrolytes (Salt, Potassium, Magnesium &amp; Calcium)</t>
        </is>
      </c>
      <c r="B14" s="127" t="n">
        <v>0.949</v>
      </c>
      <c r="C14" s="127">
        <f>B14*5</f>
        <v/>
      </c>
      <c r="D14" s="127">
        <f>B14*12</f>
        <v/>
      </c>
      <c r="E14" s="127">
        <f>B14*25</f>
        <v/>
      </c>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row>
    <row r="15" ht="15" customHeight="1">
      <c r="A15" s="1" t="inlineStr">
        <is>
          <t>Salt</t>
        </is>
      </c>
      <c r="B15" s="1" t="n">
        <v>0.671</v>
      </c>
      <c r="C15" s="1">
        <f>B15*5</f>
        <v/>
      </c>
      <c r="D15" s="1">
        <f>B15*12</f>
        <v/>
      </c>
      <c r="E15" s="1">
        <f>B15*25</f>
        <v/>
      </c>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row>
    <row r="16" ht="15" customHeight="1">
      <c r="A16" s="1" t="inlineStr">
        <is>
          <t>Potassium</t>
        </is>
      </c>
      <c r="B16" s="1" t="n">
        <v>0.198</v>
      </c>
      <c r="C16" s="1">
        <f>B16*5</f>
        <v/>
      </c>
      <c r="D16" s="1">
        <f>B16*12</f>
        <v/>
      </c>
      <c r="E16" s="1">
        <f>B16*25</f>
        <v/>
      </c>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row>
    <row r="17" ht="15" customHeight="1">
      <c r="A17" s="1" t="inlineStr">
        <is>
          <t>Magnesium</t>
        </is>
      </c>
      <c r="B17" s="1" t="n">
        <v>0.35</v>
      </c>
      <c r="C17" s="1">
        <f>B17*5</f>
        <v/>
      </c>
      <c r="D17" s="1">
        <f>B17*12</f>
        <v/>
      </c>
      <c r="E17" s="1">
        <f>B17*25</f>
        <v/>
      </c>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15" customHeight="1">
      <c r="A18" s="1" t="inlineStr">
        <is>
          <t>Calcuim</t>
        </is>
      </c>
      <c r="B18" s="1" t="n">
        <v>0.45</v>
      </c>
      <c r="C18" s="1">
        <f>B18*5</f>
        <v/>
      </c>
      <c r="D18" s="1">
        <f>B18*12</f>
        <v/>
      </c>
      <c r="E18" s="1">
        <f>B18*25</f>
        <v/>
      </c>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15" customHeight="1">
      <c r="A19" s="128" t="inlineStr">
        <is>
          <t>Caffeine</t>
        </is>
      </c>
      <c r="B19" s="64" t="n">
        <v>0.2</v>
      </c>
      <c r="C19" s="1">
        <f>B19*5</f>
        <v/>
      </c>
      <c r="D19" s="1">
        <f>B19*12</f>
        <v/>
      </c>
      <c r="E19" s="1">
        <f>B19*25</f>
        <v/>
      </c>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15" customHeight="1">
      <c r="A20" s="1" t="inlineStr">
        <is>
          <t>Microactive CoQ10</t>
        </is>
      </c>
      <c r="B20" s="1" t="n">
        <v>0.155</v>
      </c>
      <c r="C20" s="1" t="n">
        <v>0.775</v>
      </c>
      <c r="D20" s="1" t="n">
        <v>1.86</v>
      </c>
      <c r="E20" s="1" t="n">
        <v>3.875</v>
      </c>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15" customHeight="1">
      <c r="A21" s="1" t="inlineStr">
        <is>
          <t>Beta-alanine</t>
        </is>
      </c>
      <c r="B21" s="1" t="n">
        <v>0.725</v>
      </c>
      <c r="C21" s="1" t="n">
        <v>3.625</v>
      </c>
      <c r="D21" s="1" t="n">
        <v>8.699999999999999</v>
      </c>
      <c r="E21" s="1" t="n">
        <v>18.125</v>
      </c>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15" customHeight="1">
      <c r="A22" s="1" t="inlineStr">
        <is>
          <t>Creatine Monohydrate</t>
        </is>
      </c>
      <c r="B22" s="1" t="n">
        <v>0.4</v>
      </c>
      <c r="C22" s="1" t="n">
        <v>2</v>
      </c>
      <c r="D22" s="1" t="n">
        <v>4.800000000000001</v>
      </c>
      <c r="E22" s="1" t="n">
        <v>10</v>
      </c>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1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15" customFormat="1" customHeight="1" s="10">
      <c r="A24" s="128" t="inlineStr">
        <is>
          <t xml:space="preserve">Custom Options Premium Fuel </t>
        </is>
      </c>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row>
    <row r="25" ht="15" customHeight="1">
      <c r="A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15" customHeight="1">
      <c r="A26" s="1" t="inlineStr">
        <is>
          <t>Per Serving</t>
        </is>
      </c>
      <c r="B26" s="5" t="inlineStr">
        <is>
          <t>0mg</t>
        </is>
      </c>
      <c r="C26" s="1" t="inlineStr">
        <is>
          <t>25mg</t>
        </is>
      </c>
      <c r="D26" s="1" t="inlineStr">
        <is>
          <t>50mg</t>
        </is>
      </c>
      <c r="E26" s="1" t="inlineStr">
        <is>
          <t>75mg</t>
        </is>
      </c>
      <c r="F26" s="1" t="inlineStr">
        <is>
          <t>100mg</t>
        </is>
      </c>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15" customHeight="1">
      <c r="A27" s="1" t="inlineStr">
        <is>
          <t>Caffinee</t>
        </is>
      </c>
      <c r="B27" s="1" t="inlineStr">
        <is>
          <t>0g</t>
        </is>
      </c>
      <c r="C27" s="1" t="inlineStr">
        <is>
          <t>1.3g</t>
        </is>
      </c>
      <c r="D27" s="1" t="inlineStr">
        <is>
          <t>2.5g</t>
        </is>
      </c>
      <c r="E27" s="1" t="inlineStr">
        <is>
          <t>3.8g</t>
        </is>
      </c>
      <c r="F27" s="1" t="inlineStr">
        <is>
          <t>5g</t>
        </is>
      </c>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1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15" customHeight="1">
      <c r="A29" s="6" t="inlineStr">
        <is>
          <t>25 Serve Premium Fuel Electrolytes</t>
        </is>
      </c>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15" customHeight="1">
      <c r="A30" s="1" t="inlineStr">
        <is>
          <t>Per Serving</t>
        </is>
      </c>
      <c r="B30" s="5" t="inlineStr">
        <is>
          <t>400mg</t>
        </is>
      </c>
      <c r="C30" s="6" t="inlineStr">
        <is>
          <t>500mg</t>
        </is>
      </c>
      <c r="D30" s="6" t="inlineStr">
        <is>
          <t>1000mg</t>
        </is>
      </c>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15" customHeight="1">
      <c r="A31" s="1" t="n"/>
      <c r="B31" s="6" t="inlineStr">
        <is>
          <t>49.07g</t>
        </is>
      </c>
      <c r="C31" s="6" t="inlineStr">
        <is>
          <t>61.14g</t>
        </is>
      </c>
      <c r="D31" s="6" t="inlineStr">
        <is>
          <t>122.28g</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1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15" customHeight="1">
      <c r="A33" s="6" t="inlineStr">
        <is>
          <t>18 Serve Premium Fuel Electrolytes</t>
        </is>
      </c>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15" customHeight="1">
      <c r="A34" s="1" t="inlineStr">
        <is>
          <t>Per Serving</t>
        </is>
      </c>
      <c r="B34" s="5" t="inlineStr">
        <is>
          <t>400mg</t>
        </is>
      </c>
      <c r="C34" s="6" t="inlineStr">
        <is>
          <t>500mg</t>
        </is>
      </c>
      <c r="D34" s="6" t="inlineStr">
        <is>
          <t>1000mg</t>
        </is>
      </c>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15" customHeight="1">
      <c r="A35" s="1" t="n"/>
      <c r="B35" s="6" t="inlineStr">
        <is>
          <t>35.33g</t>
        </is>
      </c>
      <c r="C35" s="6" t="inlineStr">
        <is>
          <t>44.02g</t>
        </is>
      </c>
      <c r="D35" s="6" t="inlineStr">
        <is>
          <t>88.04g</t>
        </is>
      </c>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1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1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1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row>
    <row r="99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row>
    <row r="996">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row>
    <row r="99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row>
    <row r="99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row>
    <row r="9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row>
    <row r="100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row>
    <row r="100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row>
    <row r="1002">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c r="AA1002" s="1" t="n"/>
    </row>
    <row r="1003">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c r="AA1003" s="1" t="n"/>
    </row>
    <row r="1004">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c r="AA1004" s="1" t="n"/>
    </row>
    <row r="1005">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c r="AA1005" s="1" t="n"/>
    </row>
    <row r="1006">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c r="AA1006" s="1" t="n"/>
    </row>
    <row r="100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c r="AA1007" s="1" t="n"/>
    </row>
    <row r="1008">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c r="AA1008" s="1" t="n"/>
    </row>
    <row r="1009">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c r="AA1009" s="1" t="n"/>
    </row>
    <row r="1010">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c r="AA1010" s="1" t="n"/>
    </row>
    <row r="1011">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c r="AA1011" s="1" t="n"/>
    </row>
    <row r="1012">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c r="AA1012" s="1" t="n"/>
    </row>
    <row r="1013">
      <c r="A1013" s="1" t="n"/>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c r="AA1013" s="1" t="n"/>
    </row>
    <row r="1014">
      <c r="A1014" s="1" t="n"/>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c r="AA1014" s="1" t="n"/>
    </row>
    <row r="1015">
      <c r="A1015" s="1" t="n"/>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c r="AA1015" s="1" t="n"/>
    </row>
    <row r="1016">
      <c r="A1016" s="1" t="n"/>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c r="AA1016" s="1" t="n"/>
    </row>
    <row r="1017">
      <c r="A1017" s="1" t="n"/>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c r="AA1017" s="1" t="n"/>
    </row>
    <row r="1018">
      <c r="A1018" s="1" t="n"/>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c r="AA1018" s="1" t="n"/>
    </row>
  </sheetData>
  <printOptions horizontalCentered="1" gridLines="1"/>
  <pageMargins left="0.7" right="0.7" top="0.75" bottom="0.75" header="0" footer="0"/>
  <pageSetup orientation="portrait" paperSize="9" fitToHeight="0" pageOrder="overThenDown" cellComments="atEnd"/>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20" customWidth="1" min="1" max="1"/>
    <col width="24" customWidth="1" min="2" max="2"/>
    <col width="15" customWidth="1" min="3" max="3"/>
    <col width="15" customWidth="1" min="4" max="4"/>
    <col width="15" customWidth="1" min="5" max="5"/>
    <col width="15" customWidth="1" min="6" max="6"/>
    <col width="15" customWidth="1" min="7" max="7"/>
    <col width="15" customWidth="1" min="8" max="8"/>
    <col width="54" customWidth="1" min="9" max="9"/>
  </cols>
  <sheetData>
    <row r="1">
      <c r="A1" s="129" t="inlineStr">
        <is>
          <t>Report Config - Custom Supplement WO</t>
        </is>
      </c>
    </row>
    <row r="2" ht="58" customHeight="1">
      <c r="A2" s="130" t="inlineStr">
        <is>
          <t>Machine-readable settings for the BI report. This is the intended shape of the Setup tab: the report reads this, nothing about Infinit is hardcoded in the HTML. Amber = not yet confirmed. Every figure is taken from the two sheets in this workbook or derived from them, with the derivation shown in Notes.
Model: EVERY adjustable item is a step list. There are no continuous ranges.</t>
        </is>
      </c>
    </row>
    <row r="4" ht="20" customHeight="1">
      <c r="A4" s="131" t="inlineStr">
        <is>
          <t>1. DISCOVERY  -  how the report finds its lines. A pattern, not a list.</t>
        </is>
      </c>
    </row>
    <row r="5" ht="32" customHeight="1">
      <c r="A5" s="132" t="inlineStr">
        <is>
          <t>rule</t>
        </is>
      </c>
      <c r="B5" s="132" t="inlineStr">
        <is>
          <t>field</t>
        </is>
      </c>
      <c r="C5" s="132" t="inlineStr">
        <is>
          <t>operator</t>
        </is>
      </c>
      <c r="D5" s="132" t="inlineStr">
        <is>
          <t>value</t>
        </is>
      </c>
      <c r="E5" s="132" t="inlineStr"/>
      <c r="F5" s="132" t="inlineStr"/>
      <c r="G5" s="132" t="inlineStr"/>
      <c r="H5" s="132" t="inlineStr"/>
      <c r="I5" s="132" t="inlineStr">
        <is>
          <t>notes</t>
        </is>
      </c>
    </row>
    <row r="6">
      <c r="A6" s="134" t="inlineStr">
        <is>
          <t>i</t>
        </is>
      </c>
      <c r="B6" s="134" t="inlineStr">
        <is>
          <t>n</t>
        </is>
      </c>
      <c r="C6" s="134" t="inlineStr">
        <is>
          <t>c</t>
        </is>
      </c>
      <c r="D6" s="134" t="inlineStr">
        <is>
          <t>l</t>
        </is>
      </c>
      <c r="E6" s="134" t="inlineStr">
        <is>
          <t>u</t>
        </is>
      </c>
      <c r="F6" s="134" t="inlineStr">
        <is>
          <t>d</t>
        </is>
      </c>
      <c r="G6" s="134" t="inlineStr">
        <is>
          <t>e</t>
        </is>
      </c>
    </row>
    <row r="7">
      <c r="A7" s="134" t="inlineStr">
        <is>
          <t>i</t>
        </is>
      </c>
      <c r="B7" s="134" t="inlineStr">
        <is>
          <t>n</t>
        </is>
      </c>
      <c r="C7" s="134" t="inlineStr">
        <is>
          <t>c</t>
        </is>
      </c>
      <c r="D7" s="134" t="inlineStr">
        <is>
          <t>l</t>
        </is>
      </c>
      <c r="E7" s="134" t="inlineStr">
        <is>
          <t>u</t>
        </is>
      </c>
      <c r="F7" s="134" t="inlineStr">
        <is>
          <t>d</t>
        </is>
      </c>
      <c r="G7" s="134" t="inlineStr">
        <is>
          <t>e</t>
        </is>
      </c>
    </row>
    <row r="8">
      <c r="A8" s="134" t="inlineStr">
        <is>
          <t>a</t>
        </is>
      </c>
      <c r="B8" s="134" t="inlineStr">
        <is>
          <t>l</t>
        </is>
      </c>
      <c r="C8" s="134" t="inlineStr">
        <is>
          <t>w</t>
        </is>
      </c>
      <c r="D8" s="134" t="inlineStr">
        <is>
          <t>a</t>
        </is>
      </c>
      <c r="E8" s="134" t="inlineStr">
        <is>
          <t>y</t>
        </is>
      </c>
      <c r="F8" s="134" t="inlineStr">
        <is>
          <t>s</t>
        </is>
      </c>
    </row>
    <row r="9">
      <c r="A9" s="134" t="inlineStr">
        <is>
          <t>a</t>
        </is>
      </c>
      <c r="B9" s="134" t="inlineStr">
        <is>
          <t>l</t>
        </is>
      </c>
      <c r="C9" s="134" t="inlineStr">
        <is>
          <t>w</t>
        </is>
      </c>
      <c r="D9" s="134" t="inlineStr">
        <is>
          <t>a</t>
        </is>
      </c>
      <c r="E9" s="134" t="inlineStr">
        <is>
          <t>y</t>
        </is>
      </c>
      <c r="F9" s="134" t="inlineStr">
        <is>
          <t>s</t>
        </is>
      </c>
    </row>
    <row r="10" ht="48" customHeight="1">
      <c r="A10" s="138" t="inlineStr">
        <is>
          <t>IMPORTANT - the product number is NOT the part number. soitem has no partId; the part is reached productId -&gt; product.partId -&gt; part.id, and product.partId can point to a part whose num differs from the product num. Everything downstream of discovery (the BOM lookup, the serves-per-pack mapping, the MO payload) must key on part.id / part.num, never on product.num.</t>
        </is>
      </c>
      <c r="B10" s="140" t="n"/>
      <c r="C10" s="140" t="n"/>
      <c r="D10" s="140" t="n"/>
      <c r="E10" s="140" t="n"/>
      <c r="F10" s="140" t="n"/>
      <c r="G10" s="140" t="n"/>
      <c r="H10" s="140" t="n"/>
      <c r="I10" s="141" t="n"/>
    </row>
    <row r="12" ht="20" customHeight="1">
      <c r="A12" s="131" t="inlineStr">
        <is>
          <t>2. PACK MAPPING  -  keyed on part.num (the BOM part), not product.num. Supplies the per-serve to per-pack multiplier.</t>
        </is>
      </c>
    </row>
    <row r="13" ht="32" customHeight="1">
      <c r="A13" s="132" t="inlineStr">
        <is>
          <t>part.num</t>
        </is>
      </c>
      <c r="B13" s="132" t="inlineStr">
        <is>
          <t>family</t>
        </is>
      </c>
      <c r="C13" s="132" t="inlineStr">
        <is>
          <t>serves_per_pack</t>
        </is>
      </c>
      <c r="D13" s="132" t="inlineStr">
        <is>
          <t>pack_label</t>
        </is>
      </c>
      <c r="E13" s="132" t="inlineStr">
        <is>
          <t>serve_weight_g</t>
        </is>
      </c>
      <c r="F13" s="132" t="inlineStr">
        <is>
          <t>batch_weight_g</t>
        </is>
      </c>
      <c r="G13" s="132" t="inlineStr"/>
      <c r="H13" s="132" t="inlineStr">
        <is>
          <t>status</t>
        </is>
      </c>
      <c r="I13" s="132" t="inlineStr">
        <is>
          <t>notes</t>
        </is>
      </c>
    </row>
    <row r="14">
      <c r="A14" s="133" t="inlineStr">
        <is>
          <t>TBC</t>
        </is>
      </c>
      <c r="B14" s="133" t="inlineStr">
        <is>
          <t>PF75</t>
        </is>
      </c>
      <c r="C14" s="133" t="n">
        <v>25</v>
      </c>
      <c r="D14" s="133" t="inlineStr">
        <is>
          <t>25 serve bag</t>
        </is>
      </c>
      <c r="E14" s="133" t="n">
        <v>78</v>
      </c>
      <c r="F14" s="133" t="n">
        <v>1948.25</v>
      </c>
      <c r="G14" s="133" t="inlineStr"/>
      <c r="H14" s="133" t="inlineStr">
        <is>
          <t>confirm</t>
        </is>
      </c>
      <c r="I14" s="133" t="inlineStr">
        <is>
          <t>2 scoops = 78 g. 78 x 25 = 1950 g vs 1948.25 g stated - agrees.</t>
        </is>
      </c>
    </row>
    <row r="15">
      <c r="A15" s="133" t="inlineStr">
        <is>
          <t>TBC</t>
        </is>
      </c>
      <c r="B15" s="133" t="inlineStr">
        <is>
          <t>PF75</t>
        </is>
      </c>
      <c r="C15" s="133" t="n">
        <v>12</v>
      </c>
      <c r="D15" s="133" t="inlineStr">
        <is>
          <t>12 serve bag</t>
        </is>
      </c>
      <c r="E15" s="133" t="n">
        <v>78</v>
      </c>
      <c r="F15" s="133" t="inlineStr">
        <is>
          <t>TBC</t>
        </is>
      </c>
      <c r="G15" s="133" t="inlineStr"/>
      <c r="H15" s="133" t="inlineStr">
        <is>
          <t>confirm</t>
        </is>
      </c>
      <c r="I15" s="133" t="inlineStr">
        <is>
          <t>No gram values on the sheet - derive from the per-serve step.</t>
        </is>
      </c>
    </row>
    <row r="16">
      <c r="A16" s="133" t="inlineStr">
        <is>
          <t>TBC</t>
        </is>
      </c>
      <c r="B16" s="133" t="inlineStr">
        <is>
          <t>PF75</t>
        </is>
      </c>
      <c r="C16" s="133" t="n">
        <v>5</v>
      </c>
      <c r="D16" s="133" t="inlineStr">
        <is>
          <t>5 serve bag</t>
        </is>
      </c>
      <c r="E16" s="133" t="n">
        <v>78</v>
      </c>
      <c r="F16" s="133" t="inlineStr">
        <is>
          <t>TBC</t>
        </is>
      </c>
      <c r="G16" s="133" t="inlineStr"/>
      <c r="H16" s="133" t="inlineStr">
        <is>
          <t>confirm</t>
        </is>
      </c>
      <c r="I16" s="133" t="inlineStr"/>
    </row>
    <row r="17">
      <c r="A17" s="133" t="inlineStr">
        <is>
          <t>TBC</t>
        </is>
      </c>
      <c r="B17" s="133" t="inlineStr">
        <is>
          <t>PF75</t>
        </is>
      </c>
      <c r="C17" s="133" t="n">
        <v>1</v>
      </c>
      <c r="D17" s="133" t="inlineStr">
        <is>
          <t>24 x single serve</t>
        </is>
      </c>
      <c r="E17" s="133" t="n">
        <v>78</v>
      </c>
      <c r="F17" s="133" t="inlineStr">
        <is>
          <t>TBC</t>
        </is>
      </c>
      <c r="G17" s="133" t="inlineStr"/>
      <c r="H17" s="133" t="inlineStr">
        <is>
          <t>confirm</t>
        </is>
      </c>
      <c r="I17" s="133" t="inlineStr">
        <is>
          <t>Sold as a 24-pack of single serves; the recipe unit is 1 serve.</t>
        </is>
      </c>
    </row>
    <row r="18">
      <c r="A18" s="133" t="inlineStr">
        <is>
          <t>TBC</t>
        </is>
      </c>
      <c r="B18" s="133" t="inlineStr">
        <is>
          <t>PF90</t>
        </is>
      </c>
      <c r="C18" s="133" t="n">
        <v>25</v>
      </c>
      <c r="D18" s="133" t="inlineStr">
        <is>
          <t>25 serve bag</t>
        </is>
      </c>
      <c r="E18" s="133" t="n">
        <v>94</v>
      </c>
      <c r="F18" s="133" t="n">
        <v>2333.23</v>
      </c>
      <c r="G18" s="133" t="inlineStr"/>
      <c r="H18" s="133" t="inlineStr">
        <is>
          <t>confirm</t>
        </is>
      </c>
      <c r="I18" s="133" t="inlineStr">
        <is>
          <t>94 x 25 = 2350 g vs 2333.23 g stated - 16.77 g apart.</t>
        </is>
      </c>
    </row>
    <row r="19">
      <c r="A19" s="133" t="inlineStr">
        <is>
          <t>TBC</t>
        </is>
      </c>
      <c r="B19" s="133" t="inlineStr">
        <is>
          <t>PF90</t>
        </is>
      </c>
      <c r="C19" s="133" t="n">
        <v>12</v>
      </c>
      <c r="D19" s="133" t="inlineStr">
        <is>
          <t>12 serve bag</t>
        </is>
      </c>
      <c r="E19" s="133" t="n">
        <v>94</v>
      </c>
      <c r="F19" s="133" t="inlineStr">
        <is>
          <t>TBC</t>
        </is>
      </c>
      <c r="G19" s="133" t="inlineStr"/>
      <c r="H19" s="133" t="inlineStr">
        <is>
          <t>confirm</t>
        </is>
      </c>
      <c r="I19" s="133" t="inlineStr"/>
    </row>
    <row r="20">
      <c r="A20" s="133" t="inlineStr">
        <is>
          <t>TBC</t>
        </is>
      </c>
      <c r="B20" s="133" t="inlineStr">
        <is>
          <t>PF90</t>
        </is>
      </c>
      <c r="C20" s="133" t="n">
        <v>5</v>
      </c>
      <c r="D20" s="133" t="inlineStr">
        <is>
          <t>5 serve bag</t>
        </is>
      </c>
      <c r="E20" s="133" t="n">
        <v>94</v>
      </c>
      <c r="F20" s="133" t="inlineStr">
        <is>
          <t>TBC</t>
        </is>
      </c>
      <c r="G20" s="133" t="inlineStr"/>
      <c r="H20" s="133" t="inlineStr">
        <is>
          <t>confirm</t>
        </is>
      </c>
      <c r="I20" s="133" t="inlineStr"/>
    </row>
    <row r="21">
      <c r="A21" s="133" t="inlineStr">
        <is>
          <t>TBC</t>
        </is>
      </c>
      <c r="B21" s="133" t="inlineStr">
        <is>
          <t>PF90</t>
        </is>
      </c>
      <c r="C21" s="133" t="n">
        <v>1</v>
      </c>
      <c r="D21" s="133" t="inlineStr">
        <is>
          <t>24 x single serve</t>
        </is>
      </c>
      <c r="E21" s="133" t="n">
        <v>94</v>
      </c>
      <c r="F21" s="133" t="inlineStr">
        <is>
          <t>TBC</t>
        </is>
      </c>
      <c r="G21" s="133" t="inlineStr"/>
      <c r="H21" s="133" t="inlineStr">
        <is>
          <t>confirm</t>
        </is>
      </c>
      <c r="I21" s="133" t="inlineStr"/>
    </row>
    <row r="22">
      <c r="A22" s="133" t="inlineStr">
        <is>
          <t>TBC</t>
        </is>
      </c>
      <c r="B22" s="133" t="inlineStr">
        <is>
          <t>PF120</t>
        </is>
      </c>
      <c r="C22" s="133" t="n">
        <v>18</v>
      </c>
      <c r="D22" s="133" t="inlineStr">
        <is>
          <t>18 serve bag</t>
        </is>
      </c>
      <c r="E22" s="133" t="n">
        <v>123</v>
      </c>
      <c r="F22" s="133" t="n">
        <v>2220</v>
      </c>
      <c r="G22" s="133" t="inlineStr"/>
      <c r="H22" s="133" t="inlineStr">
        <is>
          <t>confirm</t>
        </is>
      </c>
      <c r="I22" s="133" t="inlineStr">
        <is>
          <t>123 x 18 = 2214 g vs 2220 g - agrees. 18 not 25: more carbohydrate per serve (Aug 14, 00:23).</t>
        </is>
      </c>
    </row>
    <row r="23">
      <c r="A23" s="133" t="inlineStr">
        <is>
          <t>TBC</t>
        </is>
      </c>
      <c r="B23" s="133" t="inlineStr">
        <is>
          <t>PF120</t>
        </is>
      </c>
      <c r="C23" s="133" t="n">
        <v>12</v>
      </c>
      <c r="D23" s="133" t="inlineStr">
        <is>
          <t>12 serve bag</t>
        </is>
      </c>
      <c r="E23" s="133" t="n">
        <v>123</v>
      </c>
      <c r="F23" s="133" t="inlineStr">
        <is>
          <t>TBC</t>
        </is>
      </c>
      <c r="G23" s="133" t="inlineStr"/>
      <c r="H23" s="133" t="inlineStr">
        <is>
          <t>confirm</t>
        </is>
      </c>
      <c r="I23" s="133" t="inlineStr"/>
    </row>
    <row r="24">
      <c r="A24" s="133" t="inlineStr">
        <is>
          <t>TBC</t>
        </is>
      </c>
      <c r="B24" s="133" t="inlineStr">
        <is>
          <t>PF120</t>
        </is>
      </c>
      <c r="C24" s="133" t="n">
        <v>5</v>
      </c>
      <c r="D24" s="133" t="inlineStr">
        <is>
          <t>5 serve bag</t>
        </is>
      </c>
      <c r="E24" s="133" t="n">
        <v>123</v>
      </c>
      <c r="F24" s="133" t="inlineStr">
        <is>
          <t>TBC</t>
        </is>
      </c>
      <c r="G24" s="133" t="inlineStr"/>
      <c r="H24" s="133" t="inlineStr">
        <is>
          <t>confirm</t>
        </is>
      </c>
      <c r="I24" s="133" t="inlineStr"/>
    </row>
    <row r="25">
      <c r="A25" s="133" t="inlineStr">
        <is>
          <t>TBC</t>
        </is>
      </c>
      <c r="B25" s="133" t="inlineStr">
        <is>
          <t>PF120</t>
        </is>
      </c>
      <c r="C25" s="133" t="n">
        <v>1</v>
      </c>
      <c r="D25" s="133" t="inlineStr">
        <is>
          <t>24 x single serve</t>
        </is>
      </c>
      <c r="E25" s="133" t="n">
        <v>123</v>
      </c>
      <c r="F25" s="133" t="inlineStr">
        <is>
          <t>TBC</t>
        </is>
      </c>
      <c r="G25" s="133" t="inlineStr"/>
      <c r="H25" s="133" t="inlineStr">
        <is>
          <t>confirm</t>
        </is>
      </c>
      <c r="I25" s="133" t="inlineStr"/>
    </row>
    <row r="26">
      <c r="A26" s="133" t="inlineStr">
        <is>
          <t>TBC</t>
        </is>
      </c>
      <c r="B26" s="133" t="inlineStr">
        <is>
          <t>HYDRATION</t>
        </is>
      </c>
      <c r="C26" s="133" t="n">
        <v>25</v>
      </c>
      <c r="D26" s="133" t="inlineStr">
        <is>
          <t>25 serve bag</t>
        </is>
      </c>
      <c r="E26" s="133" t="inlineStr">
        <is>
          <t>TBC</t>
        </is>
      </c>
      <c r="F26" s="133" t="inlineStr">
        <is>
          <t>TBC</t>
        </is>
      </c>
      <c r="G26" s="133" t="inlineStr"/>
      <c r="H26" s="133" t="inlineStr">
        <is>
          <t>confirm</t>
        </is>
      </c>
      <c r="I26" s="133" t="inlineStr">
        <is>
          <t>Separate range (Aug 14, 00:22) - own base, shared boosts.</t>
        </is>
      </c>
    </row>
    <row r="27">
      <c r="A27" s="133" t="inlineStr">
        <is>
          <t>TBC</t>
        </is>
      </c>
      <c r="B27" s="133" t="inlineStr">
        <is>
          <t>HYDRATION</t>
        </is>
      </c>
      <c r="C27" s="133" t="n">
        <v>12</v>
      </c>
      <c r="D27" s="133" t="inlineStr">
        <is>
          <t>12 serve bag</t>
        </is>
      </c>
      <c r="E27" s="133" t="inlineStr">
        <is>
          <t>TBC</t>
        </is>
      </c>
      <c r="F27" s="133" t="inlineStr">
        <is>
          <t>TBC</t>
        </is>
      </c>
      <c r="G27" s="133" t="inlineStr"/>
      <c r="H27" s="133" t="inlineStr">
        <is>
          <t>confirm</t>
        </is>
      </c>
      <c r="I27" s="133" t="inlineStr"/>
    </row>
    <row r="28">
      <c r="A28" s="133" t="inlineStr">
        <is>
          <t>TBC</t>
        </is>
      </c>
      <c r="B28" s="133" t="inlineStr">
        <is>
          <t>HYDRATION</t>
        </is>
      </c>
      <c r="C28" s="133" t="n">
        <v>5</v>
      </c>
      <c r="D28" s="133" t="inlineStr">
        <is>
          <t>5 serve bag</t>
        </is>
      </c>
      <c r="E28" s="133" t="inlineStr">
        <is>
          <t>TBC</t>
        </is>
      </c>
      <c r="F28" s="133" t="inlineStr">
        <is>
          <t>TBC</t>
        </is>
      </c>
      <c r="G28" s="133" t="inlineStr"/>
      <c r="H28" s="133" t="inlineStr">
        <is>
          <t>confirm</t>
        </is>
      </c>
      <c r="I28" s="133" t="inlineStr"/>
    </row>
    <row r="29">
      <c r="A29" s="133" t="inlineStr">
        <is>
          <t>TBC</t>
        </is>
      </c>
      <c r="B29" s="133" t="inlineStr">
        <is>
          <t>HYDRATION</t>
        </is>
      </c>
      <c r="C29" s="133" t="n">
        <v>1</v>
      </c>
      <c r="D29" s="133" t="inlineStr">
        <is>
          <t>single serve</t>
        </is>
      </c>
      <c r="E29" s="133" t="inlineStr">
        <is>
          <t>TBC</t>
        </is>
      </c>
      <c r="F29" s="133" t="inlineStr">
        <is>
          <t>TBC</t>
        </is>
      </c>
      <c r="G29" s="133" t="inlineStr"/>
      <c r="H29" s="133" t="inlineStr">
        <is>
          <t>confirm</t>
        </is>
      </c>
      <c r="I29" s="133" t="inlineStr"/>
    </row>
    <row r="30" ht="34" customHeight="1">
      <c r="A30" s="139" t="inlineStr">
        <is>
          <t>A part matched by discovery with no row here has no serves_per_pack and must render as UNMAPPED and block the build - never default to 1. This is the trade for pattern-based discovery: new CUST SKUs appear on their own, and the report tells you they need mapping.</t>
        </is>
      </c>
      <c r="B30" s="140" t="n"/>
      <c r="C30" s="140" t="n"/>
      <c r="D30" s="140" t="n"/>
      <c r="E30" s="140" t="n"/>
      <c r="F30" s="140" t="n"/>
      <c r="G30" s="140" t="n"/>
      <c r="H30" s="140" t="n"/>
      <c r="I30" s="141" t="n"/>
    </row>
    <row r="32" ht="20" customHeight="1">
      <c r="A32" s="131" t="inlineStr">
        <is>
          <t>3. ADJUSTABLE ITEMS  -  all stepped. One row per step. qty_per_pack is what the sheet states; derived_check recomputes it from per_serve.</t>
        </is>
      </c>
    </row>
    <row r="33" ht="32" customHeight="1">
      <c r="A33" s="132" t="inlineStr">
        <is>
          <t>key</t>
        </is>
      </c>
      <c r="B33" s="132" t="inlineStr">
        <is>
          <t>label</t>
        </is>
      </c>
      <c r="C33" s="132" t="inlineStr">
        <is>
          <t>part_number</t>
        </is>
      </c>
      <c r="D33" s="132" t="inlineStr">
        <is>
          <t>step_label</t>
        </is>
      </c>
      <c r="E33" s="132" t="inlineStr">
        <is>
          <t>per_serve</t>
        </is>
      </c>
      <c r="F33" s="132" t="inlineStr">
        <is>
          <t>serves_per_pack</t>
        </is>
      </c>
      <c r="G33" s="132" t="inlineStr">
        <is>
          <t>qty_per_pack_g</t>
        </is>
      </c>
      <c r="H33" s="132" t="inlineStr">
        <is>
          <t>derived_check</t>
        </is>
      </c>
      <c r="I33" s="132" t="inlineStr">
        <is>
          <t>notes</t>
        </is>
      </c>
    </row>
    <row r="34">
      <c r="A34" s="134" t="inlineStr">
        <is>
          <t>FLV</t>
        </is>
      </c>
      <c r="B34" s="134" t="inlineStr">
        <is>
          <t>Flavour RTU</t>
        </is>
      </c>
      <c r="C34" s="134" t="inlineStr">
        <is>
          <t>FLV-RTU-&lt;code&gt;</t>
        </is>
      </c>
      <c r="D34" s="134" t="inlineStr">
        <is>
          <t>BAN / CHOC / ORG / LLM / GRP / WMN / CRM / RASP</t>
        </is>
      </c>
      <c r="E34" s="134" t="inlineStr">
        <is>
          <t>-</t>
        </is>
      </c>
      <c r="F34" s="134" t="inlineStr">
        <is>
          <t>any</t>
        </is>
      </c>
      <c r="G34" s="134" t="inlineStr">
        <is>
          <t>253.25 per batch</t>
        </is>
      </c>
      <c r="H34" s="134" t="inlineStr">
        <is>
          <t>-</t>
        </is>
      </c>
      <c r="I34" s="134" t="inlineStr">
        <is>
          <t>PART SUBSTITUTION, not a quantity change. Same 253.25 g every time; only which FLV-RTU part is consumed changes.</t>
        </is>
      </c>
    </row>
    <row r="35">
      <c r="A35" s="133" t="inlineStr">
        <is>
          <t>FLV-STR</t>
        </is>
      </c>
      <c r="B35" s="133" t="inlineStr">
        <is>
          <t>Flavour strength</t>
        </is>
      </c>
      <c r="C35" s="133" t="inlineStr">
        <is>
          <t>FLV-RTU-&lt;code&gt;</t>
        </is>
      </c>
      <c r="D35" s="133" t="inlineStr">
        <is>
          <t>Light / Mid / Strong</t>
        </is>
      </c>
      <c r="E35" s="133" t="inlineStr">
        <is>
          <t>-</t>
        </is>
      </c>
      <c r="F35" s="133" t="inlineStr">
        <is>
          <t>any</t>
        </is>
      </c>
      <c r="G35" s="133" t="inlineStr">
        <is>
          <t>TBC</t>
        </is>
      </c>
      <c r="H35" s="133" t="inlineStr">
        <is>
          <t>-</t>
        </is>
      </c>
      <c r="I35" s="133" t="inlineStr">
        <is>
          <t>The PF Custom tab carries Light/Mid/Strong headers over the flavour row but only one quantity (253.25 g). If strength changes the quantity, the three values are missing; if it does not, the header is noise.</t>
        </is>
      </c>
    </row>
    <row r="36">
      <c r="A36" s="133" t="inlineStr">
        <is>
          <t>CAL</t>
        </is>
      </c>
      <c r="B36" s="133" t="inlineStr">
        <is>
          <t>Calories</t>
        </is>
      </c>
      <c r="C36" s="133" t="inlineStr">
        <is>
          <t>TBC</t>
        </is>
      </c>
      <c r="D36" s="133" t="inlineStr">
        <is>
          <t>Low / Mid / High</t>
        </is>
      </c>
      <c r="E36" s="133" t="inlineStr">
        <is>
          <t>TBC</t>
        </is>
      </c>
      <c r="F36" s="133" t="inlineStr">
        <is>
          <t>any</t>
        </is>
      </c>
      <c r="G36" s="133" t="inlineStr">
        <is>
          <t>TBC</t>
        </is>
      </c>
      <c r="H36" s="133" t="inlineStr">
        <is>
          <t>-</t>
        </is>
      </c>
      <c r="I36" s="133" t="inlineStr">
        <is>
          <t>No part and no values. Likely a customer-facing label that drives the carbohydrate blend rather than a component in its own right - confirm.</t>
        </is>
      </c>
    </row>
    <row r="37">
      <c r="A37" s="133" t="inlineStr">
        <is>
          <t>CARB</t>
        </is>
      </c>
      <c r="B37" s="133" t="inlineStr">
        <is>
          <t>Carbohydrate Blend</t>
        </is>
      </c>
      <c r="C37" s="133" t="inlineStr">
        <is>
          <t>TBC</t>
        </is>
      </c>
      <c r="D37" s="133" t="inlineStr">
        <is>
          <t>Simple Carbs / Complex Carbs</t>
        </is>
      </c>
      <c r="E37" s="133" t="inlineStr">
        <is>
          <t>PENDING</t>
        </is>
      </c>
      <c r="F37" s="133" t="inlineStr">
        <is>
          <t>any</t>
        </is>
      </c>
      <c r="G37" s="133" t="inlineStr">
        <is>
          <t>PENDING</t>
        </is>
      </c>
      <c r="H37" s="133" t="inlineStr">
        <is>
          <t>-</t>
        </is>
      </c>
      <c r="I37" s="133" t="inlineStr">
        <is>
          <t>BLOCKED. Aug 14 (00:19): min/max for maltodextrin, fructose and dextrose still with Infinit US.</t>
        </is>
      </c>
    </row>
    <row r="38">
      <c r="A38" s="134" t="inlineStr">
        <is>
          <t>ELEC</t>
        </is>
      </c>
      <c r="B38" s="134" t="inlineStr">
        <is>
          <t>Electrolytes</t>
        </is>
      </c>
      <c r="C38" s="134" t="inlineStr">
        <is>
          <t>RTU-ELECTROLYTE-MIX</t>
        </is>
      </c>
      <c r="D38" s="134" t="inlineStr">
        <is>
          <t>Low</t>
        </is>
      </c>
      <c r="E38" s="134" t="inlineStr">
        <is>
          <t>400 mg</t>
        </is>
      </c>
      <c r="F38" s="134" t="n">
        <v>25</v>
      </c>
      <c r="G38" s="134" t="n">
        <v>49.07</v>
      </c>
      <c r="H38" s="134" t="n">
        <v>49.07</v>
      </c>
      <c r="I38" s="134" t="inlineStr">
        <is>
          <t>Factor 4.907 (10 g declared -&gt; 49.07 g mix).</t>
        </is>
      </c>
    </row>
    <row r="39">
      <c r="A39" s="134" t="inlineStr">
        <is>
          <t>ELEC</t>
        </is>
      </c>
      <c r="B39" s="134" t="inlineStr">
        <is>
          <t>Electrolytes</t>
        </is>
      </c>
      <c r="C39" s="134" t="inlineStr">
        <is>
          <t>RTU-ELECTROLYTE-MIX</t>
        </is>
      </c>
      <c r="D39" s="134" t="inlineStr">
        <is>
          <t>Mid</t>
        </is>
      </c>
      <c r="E39" s="134" t="inlineStr">
        <is>
          <t>500 mg</t>
        </is>
      </c>
      <c r="F39" s="134" t="n">
        <v>25</v>
      </c>
      <c r="G39" s="134" t="n">
        <v>61.14</v>
      </c>
      <c r="H39" s="134" t="n">
        <v>61.14</v>
      </c>
      <c r="I39" s="134" t="inlineStr">
        <is>
          <t>Factor 4.891.</t>
        </is>
      </c>
    </row>
    <row r="40">
      <c r="A40" s="134" t="inlineStr">
        <is>
          <t>ELEC</t>
        </is>
      </c>
      <c r="B40" s="134" t="inlineStr">
        <is>
          <t>Electrolytes</t>
        </is>
      </c>
      <c r="C40" s="134" t="inlineStr">
        <is>
          <t>RTU-ELECTROLYTE-MIX</t>
        </is>
      </c>
      <c r="D40" s="134" t="inlineStr">
        <is>
          <t>High</t>
        </is>
      </c>
      <c r="E40" s="134" t="inlineStr">
        <is>
          <t>1000 mg</t>
        </is>
      </c>
      <c r="F40" s="134" t="n">
        <v>25</v>
      </c>
      <c r="G40" s="134" t="n">
        <v>122.28</v>
      </c>
      <c r="H40" s="134" t="n">
        <v>122.28</v>
      </c>
      <c r="I40" s="134" t="inlineStr">
        <is>
          <t>Factor 4.891.</t>
        </is>
      </c>
    </row>
    <row r="41">
      <c r="A41" s="134" t="inlineStr">
        <is>
          <t>ELEC</t>
        </is>
      </c>
      <c r="B41" s="134" t="inlineStr">
        <is>
          <t>Electrolytes</t>
        </is>
      </c>
      <c r="C41" s="134" t="inlineStr">
        <is>
          <t>RTU-ELECTROLYTE-MIX</t>
        </is>
      </c>
      <c r="D41" s="134" t="inlineStr">
        <is>
          <t>Low</t>
        </is>
      </c>
      <c r="E41" s="134" t="inlineStr">
        <is>
          <t>400 mg</t>
        </is>
      </c>
      <c r="F41" s="134" t="n">
        <v>18</v>
      </c>
      <c r="G41" s="134" t="n">
        <v>35.33</v>
      </c>
      <c r="H41" s="134" t="n">
        <v>35.33</v>
      </c>
      <c r="I41" s="134" t="inlineStr">
        <is>
          <t>Factor 4.907. Same steps, different pack quantity - this is why the table is keyed by serves_per_pack.</t>
        </is>
      </c>
    </row>
    <row r="42">
      <c r="A42" s="134" t="inlineStr">
        <is>
          <t>ELEC</t>
        </is>
      </c>
      <c r="B42" s="134" t="inlineStr">
        <is>
          <t>Electrolytes</t>
        </is>
      </c>
      <c r="C42" s="134" t="inlineStr">
        <is>
          <t>RTU-ELECTROLYTE-MIX</t>
        </is>
      </c>
      <c r="D42" s="134" t="inlineStr">
        <is>
          <t>Mid</t>
        </is>
      </c>
      <c r="E42" s="134" t="inlineStr">
        <is>
          <t>500 mg</t>
        </is>
      </c>
      <c r="F42" s="134" t="n">
        <v>18</v>
      </c>
      <c r="G42" s="134" t="n">
        <v>44.02</v>
      </c>
      <c r="H42" s="134" t="n">
        <v>44.02</v>
      </c>
      <c r="I42" s="134" t="inlineStr">
        <is>
          <t>Factor 4.891.</t>
        </is>
      </c>
    </row>
    <row r="43">
      <c r="A43" s="134" t="inlineStr">
        <is>
          <t>ELEC</t>
        </is>
      </c>
      <c r="B43" s="134" t="inlineStr">
        <is>
          <t>Electrolytes</t>
        </is>
      </c>
      <c r="C43" s="134" t="inlineStr">
        <is>
          <t>RTU-ELECTROLYTE-MIX</t>
        </is>
      </c>
      <c r="D43" s="134" t="inlineStr">
        <is>
          <t>High</t>
        </is>
      </c>
      <c r="E43" s="134" t="inlineStr">
        <is>
          <t>1000 mg</t>
        </is>
      </c>
      <c r="F43" s="134" t="n">
        <v>18</v>
      </c>
      <c r="G43" s="134" t="n">
        <v>88.04000000000001</v>
      </c>
      <c r="H43" s="134" t="n">
        <v>88.04000000000001</v>
      </c>
      <c r="I43" s="134" t="inlineStr">
        <is>
          <t>Factor 4.891.</t>
        </is>
      </c>
    </row>
    <row r="44">
      <c r="A44" s="134" t="inlineStr">
        <is>
          <t>CAF</t>
        </is>
      </c>
      <c r="B44" s="134" t="inlineStr">
        <is>
          <t>Caffeine</t>
        </is>
      </c>
      <c r="C44" s="134" t="inlineStr">
        <is>
          <t>RAW-CAFFEINE</t>
        </is>
      </c>
      <c r="D44" s="134" t="inlineStr">
        <is>
          <t>None</t>
        </is>
      </c>
      <c r="E44" s="134" t="inlineStr">
        <is>
          <t>0 mg</t>
        </is>
      </c>
      <c r="F44" s="134" t="n">
        <v>25</v>
      </c>
      <c r="G44" s="134" t="n">
        <v>0</v>
      </c>
      <c r="H44" s="134" t="n">
        <v>0</v>
      </c>
      <c r="I44" s="134" t="inlineStr">
        <is>
          <t>Zero step - omit the component entirely.</t>
        </is>
      </c>
    </row>
    <row r="45">
      <c r="A45" s="134" t="inlineStr">
        <is>
          <t>CAF</t>
        </is>
      </c>
      <c r="B45" s="134" t="inlineStr">
        <is>
          <t>Caffeine</t>
        </is>
      </c>
      <c r="C45" s="134" t="inlineStr">
        <is>
          <t>RAW-CAFFEINE</t>
        </is>
      </c>
      <c r="D45" s="134" t="inlineStr">
        <is>
          <t>25mg</t>
        </is>
      </c>
      <c r="E45" s="134" t="inlineStr">
        <is>
          <t>25 mg</t>
        </is>
      </c>
      <c r="F45" s="134" t="n">
        <v>25</v>
      </c>
      <c r="G45" s="134" t="n">
        <v>1.3</v>
      </c>
      <c r="H45" s="134" t="n">
        <v>1.25</v>
      </c>
      <c r="I45" s="134" t="inlineStr">
        <is>
          <t>Implied factor 2.08.</t>
        </is>
      </c>
    </row>
    <row r="46">
      <c r="A46" s="134" t="inlineStr">
        <is>
          <t>CAF</t>
        </is>
      </c>
      <c r="B46" s="134" t="inlineStr">
        <is>
          <t>Caffeine</t>
        </is>
      </c>
      <c r="C46" s="134" t="inlineStr">
        <is>
          <t>RAW-CAFFEINE</t>
        </is>
      </c>
      <c r="D46" s="134" t="inlineStr">
        <is>
          <t>50mg</t>
        </is>
      </c>
      <c r="E46" s="134" t="inlineStr">
        <is>
          <t>50 mg</t>
        </is>
      </c>
      <c r="F46" s="134" t="n">
        <v>25</v>
      </c>
      <c r="G46" s="134" t="n">
        <v>2.5</v>
      </c>
      <c r="H46" s="134" t="n">
        <v>2.5</v>
      </c>
      <c r="I46" s="134" t="inlineStr">
        <is>
          <t>Implied factor 2.00.</t>
        </is>
      </c>
    </row>
    <row r="47">
      <c r="A47" s="134" t="inlineStr">
        <is>
          <t>CAF</t>
        </is>
      </c>
      <c r="B47" s="134" t="inlineStr">
        <is>
          <t>Caffeine</t>
        </is>
      </c>
      <c r="C47" s="134" t="inlineStr">
        <is>
          <t>RAW-CAFFEINE</t>
        </is>
      </c>
      <c r="D47" s="134" t="inlineStr">
        <is>
          <t>75mg</t>
        </is>
      </c>
      <c r="E47" s="134" t="inlineStr">
        <is>
          <t>75 mg</t>
        </is>
      </c>
      <c r="F47" s="134" t="n">
        <v>25</v>
      </c>
      <c r="G47" s="134" t="n">
        <v>3.8</v>
      </c>
      <c r="H47" s="134" t="n">
        <v>3.75</v>
      </c>
      <c r="I47" s="134" t="inlineStr">
        <is>
          <t>Implied factor 2.03.</t>
        </is>
      </c>
    </row>
    <row r="48">
      <c r="A48" s="133" t="inlineStr">
        <is>
          <t>CAF</t>
        </is>
      </c>
      <c r="B48" s="133" t="inlineStr">
        <is>
          <t>Caffeine</t>
        </is>
      </c>
      <c r="C48" s="133" t="inlineStr">
        <is>
          <t>RAW-CAFFEINE</t>
        </is>
      </c>
      <c r="D48" s="133" t="inlineStr">
        <is>
          <t>100mg</t>
        </is>
      </c>
      <c r="E48" s="133" t="inlineStr">
        <is>
          <t>100 mg</t>
        </is>
      </c>
      <c r="F48" s="133" t="n">
        <v>25</v>
      </c>
      <c r="G48" s="133" t="n">
        <v>5</v>
      </c>
      <c r="H48" s="133" t="n">
        <v>5</v>
      </c>
      <c r="I48" s="133" t="inlineStr">
        <is>
          <t>Implied factor 2.00. CONFIRM the 2x - either RAW-CAFFEINE is ~50% caffeine, or the mg labels are half the true dose.</t>
        </is>
      </c>
    </row>
    <row r="49">
      <c r="A49" s="134" t="inlineStr">
        <is>
          <t>CAF</t>
        </is>
      </c>
      <c r="B49" s="134" t="inlineStr">
        <is>
          <t>Caffeine</t>
        </is>
      </c>
      <c r="C49" s="134" t="inlineStr">
        <is>
          <t>RAW-CAFFEINE</t>
        </is>
      </c>
      <c r="D49" s="134" t="inlineStr">
        <is>
          <t>None</t>
        </is>
      </c>
      <c r="E49" s="134" t="inlineStr">
        <is>
          <t>0 mg</t>
        </is>
      </c>
      <c r="F49" s="134" t="n">
        <v>18</v>
      </c>
      <c r="G49" s="134" t="n">
        <v>0</v>
      </c>
      <c r="H49" s="134" t="n">
        <v>0</v>
      </c>
      <c r="I49" s="134" t="inlineStr"/>
    </row>
    <row r="50">
      <c r="A50" s="134" t="inlineStr">
        <is>
          <t>CAF</t>
        </is>
      </c>
      <c r="B50" s="134" t="inlineStr">
        <is>
          <t>Caffeine</t>
        </is>
      </c>
      <c r="C50" s="134" t="inlineStr">
        <is>
          <t>RAW-CAFFEINE</t>
        </is>
      </c>
      <c r="D50" s="134" t="inlineStr">
        <is>
          <t>25mg</t>
        </is>
      </c>
      <c r="E50" s="134" t="inlineStr">
        <is>
          <t>25 mg</t>
        </is>
      </c>
      <c r="F50" s="134" t="n">
        <v>18</v>
      </c>
      <c r="G50" s="134" t="n">
        <v>0.93</v>
      </c>
      <c r="H50" s="134" t="n">
        <v>0.9</v>
      </c>
      <c r="I50" s="134" t="inlineStr">
        <is>
          <t>Implied factor 2.07.</t>
        </is>
      </c>
    </row>
    <row r="51">
      <c r="A51" s="134" t="inlineStr">
        <is>
          <t>CAF</t>
        </is>
      </c>
      <c r="B51" s="134" t="inlineStr">
        <is>
          <t>Caffeine</t>
        </is>
      </c>
      <c r="C51" s="134" t="inlineStr">
        <is>
          <t>RAW-CAFFEINE</t>
        </is>
      </c>
      <c r="D51" s="134" t="inlineStr">
        <is>
          <t>50mg</t>
        </is>
      </c>
      <c r="E51" s="134" t="inlineStr">
        <is>
          <t>50 mg</t>
        </is>
      </c>
      <c r="F51" s="134" t="n">
        <v>18</v>
      </c>
      <c r="G51" s="134" t="n">
        <v>1.8</v>
      </c>
      <c r="H51" s="134" t="n">
        <v>1.8</v>
      </c>
      <c r="I51" s="134" t="inlineStr">
        <is>
          <t>Implied factor 2.00.</t>
        </is>
      </c>
    </row>
    <row r="52">
      <c r="A52" s="134" t="inlineStr">
        <is>
          <t>CAF</t>
        </is>
      </c>
      <c r="B52" s="134" t="inlineStr">
        <is>
          <t>Caffeine</t>
        </is>
      </c>
      <c r="C52" s="134" t="inlineStr">
        <is>
          <t>RAW-CAFFEINE</t>
        </is>
      </c>
      <c r="D52" s="134" t="inlineStr">
        <is>
          <t>75mg</t>
        </is>
      </c>
      <c r="E52" s="134" t="inlineStr">
        <is>
          <t>75 mg</t>
        </is>
      </c>
      <c r="F52" s="134" t="n">
        <v>18</v>
      </c>
      <c r="G52" s="134" t="n">
        <v>2.74</v>
      </c>
      <c r="H52" s="134" t="n">
        <v>2.7</v>
      </c>
      <c r="I52" s="134" t="inlineStr">
        <is>
          <t>Implied factor 2.03.</t>
        </is>
      </c>
    </row>
    <row r="53">
      <c r="A53" s="134" t="inlineStr">
        <is>
          <t>CAF</t>
        </is>
      </c>
      <c r="B53" s="134" t="inlineStr">
        <is>
          <t>Caffeine</t>
        </is>
      </c>
      <c r="C53" s="134" t="inlineStr">
        <is>
          <t>RAW-CAFFEINE</t>
        </is>
      </c>
      <c r="D53" s="134" t="inlineStr">
        <is>
          <t>100mg</t>
        </is>
      </c>
      <c r="E53" s="134" t="inlineStr">
        <is>
          <t>100 mg</t>
        </is>
      </c>
      <c r="F53" s="134" t="n">
        <v>18</v>
      </c>
      <c r="G53" s="134" t="n">
        <v>3.6</v>
      </c>
      <c r="H53" s="134" t="n">
        <v>3.6</v>
      </c>
      <c r="I53" s="134" t="inlineStr">
        <is>
          <t>Implied factor 2.00.</t>
        </is>
      </c>
    </row>
    <row r="54">
      <c r="A54" s="134" t="inlineStr">
        <is>
          <t>PROT</t>
        </is>
      </c>
      <c r="B54" s="134" t="inlineStr">
        <is>
          <t>Protein</t>
        </is>
      </c>
      <c r="C54" s="134" t="inlineStr">
        <is>
          <t>TBC</t>
        </is>
      </c>
      <c r="D54" s="134" t="inlineStr">
        <is>
          <t>None</t>
        </is>
      </c>
      <c r="E54" s="134" t="inlineStr">
        <is>
          <t>0 g</t>
        </is>
      </c>
      <c r="F54" s="134" t="inlineStr">
        <is>
          <t>any</t>
        </is>
      </c>
      <c r="G54" s="134" t="n">
        <v>0</v>
      </c>
      <c r="H54" s="134" t="inlineStr">
        <is>
          <t>0</t>
        </is>
      </c>
      <c r="I54" s="134" t="inlineStr">
        <is>
          <t>Two steps only on the PF Custom tab: None, or 10 g.</t>
        </is>
      </c>
    </row>
    <row r="55">
      <c r="A55" s="133" t="inlineStr">
        <is>
          <t>PROT</t>
        </is>
      </c>
      <c r="B55" s="133" t="inlineStr">
        <is>
          <t>Protein</t>
        </is>
      </c>
      <c r="C55" s="133" t="inlineStr">
        <is>
          <t>TBC</t>
        </is>
      </c>
      <c r="D55" s="133" t="inlineStr">
        <is>
          <t>10g</t>
        </is>
      </c>
      <c r="E55" s="133" t="inlineStr">
        <is>
          <t>10 g</t>
        </is>
      </c>
      <c r="F55" s="133" t="n">
        <v>25</v>
      </c>
      <c r="G55" s="133" t="inlineStr">
        <is>
          <t>TBC</t>
        </is>
      </c>
      <c r="H55" s="133" t="n">
        <v>250</v>
      </c>
      <c r="I55" s="133" t="inlineStr">
        <is>
          <t>Sheet states no pack figure - 10 x 25 = 250 g if the factor is 1.0.</t>
        </is>
      </c>
    </row>
    <row r="56">
      <c r="A56" s="133" t="inlineStr">
        <is>
          <t>PROT</t>
        </is>
      </c>
      <c r="B56" s="133" t="inlineStr">
        <is>
          <t>Protein</t>
        </is>
      </c>
      <c r="C56" s="133" t="inlineStr">
        <is>
          <t>TBC</t>
        </is>
      </c>
      <c r="D56" s="133" t="inlineStr">
        <is>
          <t>10g</t>
        </is>
      </c>
      <c r="E56" s="133" t="inlineStr">
        <is>
          <t>10 g</t>
        </is>
      </c>
      <c r="F56" s="133" t="n">
        <v>18</v>
      </c>
      <c r="G56" s="133" t="inlineStr">
        <is>
          <t>TBC</t>
        </is>
      </c>
      <c r="H56" s="133" t="n">
        <v>180</v>
      </c>
      <c r="I56" s="133" t="inlineStr"/>
    </row>
    <row r="57">
      <c r="A57" s="134" t="inlineStr">
        <is>
          <t>BCAA</t>
        </is>
      </c>
      <c r="B57" s="134" t="inlineStr">
        <is>
          <t>BCAA's</t>
        </is>
      </c>
      <c r="C57" s="134" t="inlineStr">
        <is>
          <t>explode</t>
        </is>
      </c>
      <c r="D57" s="134" t="inlineStr">
        <is>
          <t>None</t>
        </is>
      </c>
      <c r="E57" s="134" t="inlineStr">
        <is>
          <t>0 g</t>
        </is>
      </c>
      <c r="F57" s="134" t="inlineStr">
        <is>
          <t>any</t>
        </is>
      </c>
      <c r="G57" s="134" t="n">
        <v>0</v>
      </c>
      <c r="H57" s="134" t="inlineStr">
        <is>
          <t>0</t>
        </is>
      </c>
      <c r="I57" s="134" t="inlineStr"/>
    </row>
    <row r="58">
      <c r="A58" s="133" t="inlineStr">
        <is>
          <t>BCAA</t>
        </is>
      </c>
      <c r="B58" s="133" t="inlineStr">
        <is>
          <t>BCAA's</t>
        </is>
      </c>
      <c r="C58" s="133" t="inlineStr">
        <is>
          <t>explode</t>
        </is>
      </c>
      <c r="D58" s="133" t="inlineStr">
        <is>
          <t>3g</t>
        </is>
      </c>
      <c r="E58" s="133" t="inlineStr">
        <is>
          <t>3 g</t>
        </is>
      </c>
      <c r="F58" s="133" t="n">
        <v>25</v>
      </c>
      <c r="G58" s="133" t="inlineStr">
        <is>
          <t>TBC</t>
        </is>
      </c>
      <c r="H58" s="133" t="n">
        <v>75</v>
      </c>
      <c r="I58" s="133" t="inlineStr">
        <is>
          <t>Explodes: Leucine 50% (37.5 g), Isoleucine 25% (18.75 g), Valine 25% (18.75 g). Ratios sum to 3.00 g per serve exactly.</t>
        </is>
      </c>
    </row>
    <row r="59">
      <c r="A59" s="133" t="inlineStr">
        <is>
          <t>BCAA</t>
        </is>
      </c>
      <c r="B59" s="133" t="inlineStr">
        <is>
          <t>BCAA's</t>
        </is>
      </c>
      <c r="C59" s="133" t="inlineStr">
        <is>
          <t>explode</t>
        </is>
      </c>
      <c r="D59" s="133" t="inlineStr">
        <is>
          <t>3g</t>
        </is>
      </c>
      <c r="E59" s="133" t="inlineStr">
        <is>
          <t>3 g</t>
        </is>
      </c>
      <c r="F59" s="133" t="n">
        <v>18</v>
      </c>
      <c r="G59" s="133" t="inlineStr">
        <is>
          <t>TBC</t>
        </is>
      </c>
      <c r="H59" s="133" t="n">
        <v>54</v>
      </c>
      <c r="I59" s="133" t="inlineStr"/>
    </row>
    <row r="60">
      <c r="A60" s="134" t="inlineStr">
        <is>
          <t>BOOST-COQ10</t>
        </is>
      </c>
      <c r="B60" s="134" t="inlineStr">
        <is>
          <t>Microactive CoQ10</t>
        </is>
      </c>
      <c r="C60" s="134" t="inlineStr">
        <is>
          <t>TBC</t>
        </is>
      </c>
      <c r="D60" s="134" t="inlineStr">
        <is>
          <t>Off / On</t>
        </is>
      </c>
      <c r="E60" s="134" t="inlineStr">
        <is>
          <t>0.155 g</t>
        </is>
      </c>
      <c r="F60" s="134" t="n">
        <v>25</v>
      </c>
      <c r="G60" s="134" t="n">
        <v>3.875</v>
      </c>
      <c r="H60" s="134" t="n">
        <v>3.875</v>
      </c>
      <c r="I60" s="134" t="inlineStr">
        <is>
          <t>Premium Fuel Boost - fixed per serve, present or absent. Two steps.</t>
        </is>
      </c>
    </row>
    <row r="61">
      <c r="A61" s="134" t="inlineStr">
        <is>
          <t>BOOST-BA</t>
        </is>
      </c>
      <c r="B61" s="134" t="inlineStr">
        <is>
          <t>Beta-alanine</t>
        </is>
      </c>
      <c r="C61" s="134" t="inlineStr">
        <is>
          <t>TBC</t>
        </is>
      </c>
      <c r="D61" s="134" t="inlineStr">
        <is>
          <t>Off / On</t>
        </is>
      </c>
      <c r="E61" s="134" t="inlineStr">
        <is>
          <t>0.725 g</t>
        </is>
      </c>
      <c r="F61" s="134" t="n">
        <v>25</v>
      </c>
      <c r="G61" s="134" t="n">
        <v>18.125</v>
      </c>
      <c r="H61" s="134" t="n">
        <v>18.125</v>
      </c>
      <c r="I61" s="134" t="inlineStr"/>
    </row>
    <row r="62">
      <c r="A62" s="134" t="inlineStr">
        <is>
          <t>BOOST-CREA</t>
        </is>
      </c>
      <c r="B62" s="134" t="inlineStr">
        <is>
          <t>Creatine Monohydrate</t>
        </is>
      </c>
      <c r="C62" s="134" t="inlineStr">
        <is>
          <t>TBC</t>
        </is>
      </c>
      <c r="D62" s="134" t="inlineStr">
        <is>
          <t>Off / On</t>
        </is>
      </c>
      <c r="E62" s="134" t="inlineStr">
        <is>
          <t>0.4 g</t>
        </is>
      </c>
      <c r="F62" s="134" t="n">
        <v>25</v>
      </c>
      <c r="G62" s="134" t="n">
        <v>10</v>
      </c>
      <c r="H62" s="134" t="n">
        <v>10</v>
      </c>
      <c r="I62" s="134" t="inlineStr"/>
    </row>
    <row r="63">
      <c r="A63" s="134" t="inlineStr">
        <is>
          <t>HYD-*</t>
        </is>
      </c>
      <c r="B63" s="134" t="inlineStr">
        <is>
          <t>Custom Hydration boosts</t>
        </is>
      </c>
      <c r="C63" s="134" t="inlineStr">
        <is>
          <t>TBC</t>
        </is>
      </c>
      <c r="D63" s="134" t="inlineStr">
        <is>
          <t>STEPS UNDEFINED</t>
        </is>
      </c>
      <c r="E63" s="134" t="inlineStr">
        <is>
          <t>nil to max</t>
        </is>
      </c>
      <c r="F63" s="134" t="inlineStr">
        <is>
          <t>5 / 12 / 25</t>
        </is>
      </c>
      <c r="G63" s="134" t="inlineStr">
        <is>
          <t>see tab</t>
        </is>
      </c>
      <c r="H63" s="134" t="inlineStr">
        <is>
          <t>-</t>
        </is>
      </c>
      <c r="I63" s="134" t="inlineStr">
        <is>
          <t>The hydration tab gives only nil and the maximum per item (Protein 10 g, BCAA 3 g, Electrolytes 0.949 g, Caffeine 0.2 g). Since every item is stepped, the intermediate steps still need defining.</t>
        </is>
      </c>
    </row>
    <row r="65" ht="20" customHeight="1">
      <c r="A65" s="131" t="inlineStr">
        <is>
          <t>4. CALCULATION RULES</t>
        </is>
      </c>
    </row>
    <row r="66" ht="32" customHeight="1">
      <c r="A66" s="132" t="inlineStr">
        <is>
          <t>#</t>
        </is>
      </c>
      <c r="B66" s="132" t="inlineStr">
        <is>
          <t>rule</t>
        </is>
      </c>
      <c r="C66" s="132" t="inlineStr"/>
      <c r="D66" s="132" t="inlineStr"/>
      <c r="E66" s="132" t="inlineStr"/>
      <c r="F66" s="132" t="inlineStr"/>
      <c r="G66" s="132" t="inlineStr"/>
      <c r="H66" s="132" t="inlineStr"/>
      <c r="I66" s="132" t="inlineStr">
        <is>
          <t>worked example</t>
        </is>
      </c>
    </row>
    <row r="67">
      <c r="A67" s="134" t="n">
        <v>1</v>
      </c>
      <c r="B67" s="134" t="inlineStr">
        <is>
          <t>Every adjustable item is a step selection. Reject anything not in the step list - never interpolate between steps.</t>
        </is>
      </c>
      <c r="C67" s="134" t="inlineStr"/>
      <c r="D67" s="134" t="inlineStr"/>
      <c r="E67" s="134" t="inlineStr"/>
      <c r="F67" s="134" t="inlineStr"/>
      <c r="G67" s="134" t="inlineStr"/>
      <c r="H67" s="134" t="inlineStr"/>
      <c r="I67" s="134" t="inlineStr">
        <is>
          <t>"CAF: 60mg" is invalid, not rounded to 50.</t>
        </is>
      </c>
    </row>
    <row r="68">
      <c r="A68" s="134" t="n">
        <v>2</v>
      </c>
      <c r="B68" s="134" t="inlineStr">
        <is>
          <t>Steps are declared PER SERVE. The pack quantity comes from the (item, step, serves_per_pack) row.</t>
        </is>
      </c>
      <c r="C68" s="134" t="inlineStr"/>
      <c r="D68" s="134" t="inlineStr"/>
      <c r="E68" s="134" t="inlineStr"/>
      <c r="F68" s="134" t="inlineStr"/>
      <c r="G68" s="134" t="inlineStr"/>
      <c r="H68" s="134" t="inlineStr"/>
      <c r="I68" s="134" t="inlineStr">
        <is>
          <t>Electrolytes Low = 49.07 g on a 25-serve bag, 35.33 g on an 18-serve bag.</t>
        </is>
      </c>
    </row>
    <row r="69">
      <c r="A69" s="134" t="n">
        <v>3</v>
      </c>
      <c r="B69" s="134" t="inlineStr">
        <is>
          <t>Where a pack quantity is stated on the sheet, USE IT. Do not derive it - the conversions are not linear.</t>
        </is>
      </c>
      <c r="C69" s="134" t="inlineStr"/>
      <c r="D69" s="134" t="inlineStr"/>
      <c r="E69" s="134" t="inlineStr"/>
      <c r="F69" s="134" t="inlineStr"/>
      <c r="G69" s="134" t="inlineStr"/>
      <c r="H69" s="134" t="inlineStr"/>
      <c r="I69" s="134" t="inlineStr">
        <is>
          <t>Caffeine 25mg: stated 1.3 g, derived 1.25 g. The stated figure wins.</t>
        </is>
      </c>
    </row>
    <row r="70">
      <c r="A70" s="134" t="n">
        <v>4</v>
      </c>
      <c r="B70" s="134" t="inlineStr">
        <is>
          <t>Where no pack quantity is stated, derive per_serve x serves_per_pack x material_factor and mark the line as derived.</t>
        </is>
      </c>
      <c r="C70" s="134" t="inlineStr"/>
      <c r="D70" s="134" t="inlineStr"/>
      <c r="E70" s="134" t="inlineStr"/>
      <c r="F70" s="134" t="inlineStr"/>
      <c r="G70" s="134" t="inlineStr"/>
      <c r="H70" s="134" t="inlineStr"/>
      <c r="I70" s="134" t="inlineStr">
        <is>
          <t>Protein 10 g on a 25-serve bag = 250 g, flagged derived.</t>
        </is>
      </c>
    </row>
    <row r="71">
      <c r="A71" s="134" t="n">
        <v>5</v>
      </c>
      <c r="B71" s="134" t="inlineStr">
        <is>
          <t>Then multiply by the ordered line quantity.</t>
        </is>
      </c>
      <c r="C71" s="134" t="inlineStr"/>
      <c r="D71" s="134" t="inlineStr"/>
      <c r="E71" s="134" t="inlineStr"/>
      <c r="F71" s="134" t="inlineStr"/>
      <c r="G71" s="134" t="inlineStr"/>
      <c r="H71" s="134" t="inlineStr"/>
      <c r="I71" s="134" t="inlineStr">
        <is>
          <t>2 x 25-serve bags at Electrolytes Low = 98.14 g.</t>
        </is>
      </c>
    </row>
    <row r="72">
      <c r="A72" s="134" t="n">
        <v>6</v>
      </c>
      <c r="B72" s="134" t="inlineStr">
        <is>
          <t>Explode roll-ups into their components at their stated ratios.</t>
        </is>
      </c>
      <c r="C72" s="134" t="inlineStr"/>
      <c r="D72" s="134" t="inlineStr"/>
      <c r="E72" s="134" t="inlineStr"/>
      <c r="F72" s="134" t="inlineStr"/>
      <c r="G72" s="134" t="inlineStr"/>
      <c r="H72" s="134" t="inlineStr"/>
      <c r="I72" s="134" t="inlineStr">
        <is>
          <t>3 g BCAA on 25 serves -&gt; 37.5 / 18.75 / 18.75 g.</t>
        </is>
      </c>
    </row>
    <row r="73">
      <c r="A73" s="134" t="n">
        <v>7</v>
      </c>
      <c r="B73" s="134" t="inlineStr">
        <is>
          <t>Flavour substitutes the part on its BOM line; the quantity is untouched.</t>
        </is>
      </c>
      <c r="C73" s="134" t="inlineStr"/>
      <c r="D73" s="134" t="inlineStr"/>
      <c r="E73" s="134" t="inlineStr"/>
      <c r="F73" s="134" t="inlineStr"/>
      <c r="G73" s="134" t="inlineStr"/>
      <c r="H73" s="134" t="inlineStr"/>
      <c r="I73" s="134" t="inlineStr">
        <is>
          <t>253.25 g of FLV-RTU-CHOC instead of FLV-RTU-BAN.</t>
        </is>
      </c>
    </row>
    <row r="74">
      <c r="A74" s="134" t="n">
        <v>8</v>
      </c>
      <c r="B74" s="134" t="inlineStr">
        <is>
          <t>A zero step omits the component rather than posting a zero line.</t>
        </is>
      </c>
      <c r="C74" s="134" t="inlineStr"/>
      <c r="D74" s="134" t="inlineStr"/>
      <c r="E74" s="134" t="inlineStr"/>
      <c r="F74" s="134" t="inlineStr"/>
      <c r="G74" s="134" t="inlineStr"/>
      <c r="H74" s="134" t="inlineStr"/>
      <c r="I74" s="134" t="inlineStr">
        <is>
          <t>"CAF: None" -&gt; no RAW-CAFFEINE line at all.</t>
        </is>
      </c>
    </row>
    <row r="75">
      <c r="A75" s="134" t="n">
        <v>9</v>
      </c>
      <c r="B75" s="134" t="inlineStr">
        <is>
          <t>Any unmapped part, unknown step, or TBC component blocks the build. Never silently drop one.</t>
        </is>
      </c>
      <c r="C75" s="134" t="inlineStr"/>
      <c r="D75" s="134" t="inlineStr"/>
      <c r="E75" s="134" t="inlineStr"/>
      <c r="F75" s="134" t="inlineStr"/>
      <c r="G75" s="134" t="inlineStr"/>
      <c r="H75" s="134" t="inlineStr"/>
      <c r="I75" s="134" t="inlineStr">
        <is>
          <t>Already the skeleton's behaviour - keep it.</t>
        </is>
      </c>
    </row>
  </sheetData>
  <mergeCells count="7">
    <mergeCell ref="A65:I65"/>
    <mergeCell ref="A2:I2"/>
    <mergeCell ref="A10:I10"/>
    <mergeCell ref="A32:I32"/>
    <mergeCell ref="A12:I12"/>
    <mergeCell ref="A4:I4"/>
    <mergeCell ref="A30:I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6" customWidth="1" min="1" max="1"/>
    <col width="30" customWidth="1" min="2" max="2"/>
    <col width="58" customWidth="1" min="3" max="3"/>
    <col width="22" customWidth="1" min="4" max="4"/>
    <col width="14" customWidth="1" min="5" max="5"/>
    <col width="24" customWidth="1" min="6" max="6"/>
  </cols>
  <sheetData>
    <row r="1">
      <c r="A1" s="129" t="inlineStr">
        <is>
          <t>Open Items &amp; Change Log</t>
        </is>
      </c>
    </row>
    <row r="2" ht="58" customHeight="1">
      <c r="A2" s="130" t="inlineStr">
        <is>
          <t>Source: Zoom "Fishbowl / Infinit - Check In", 14 Aug 2026, 1h34m with Stacy Manczal - the screen-share walkthrough of this workbook. The 27 Aug "Infinit - OnSite Recap" has no cloud recording, transcript or summary (scheduled on a non-Fishbowl Zoom link), so anything settled only in that session is NOT reflected here and needs your recollection.</t>
        </is>
      </c>
    </row>
    <row r="4" ht="20" customHeight="1">
      <c r="A4" s="131" t="inlineStr">
        <is>
          <t>A. CHANGES APPLIED TO THIS WORKBOOK</t>
        </is>
      </c>
    </row>
    <row r="5" ht="30" customHeight="1">
      <c r="A5" s="132" t="inlineStr">
        <is>
          <t>#</t>
        </is>
      </c>
      <c r="B5" s="132" t="inlineStr">
        <is>
          <t>where</t>
        </is>
      </c>
      <c r="C5" s="132" t="inlineStr">
        <is>
          <t>change</t>
        </is>
      </c>
      <c r="D5" s="132" t="inlineStr">
        <is>
          <t>basis</t>
        </is>
      </c>
      <c r="E5" s="132" t="inlineStr">
        <is>
          <t>type</t>
        </is>
      </c>
      <c r="F5" s="132" t="inlineStr">
        <is>
          <t>status</t>
        </is>
      </c>
    </row>
    <row r="6">
      <c r="A6" s="134" t="n">
        <v>1</v>
      </c>
      <c r="B6" s="134" t="inlineStr">
        <is>
          <t>Custom Hydration Values, B2:C2 / B8:E8</t>
        </is>
      </c>
      <c r="C6" s="134" t="inlineStr">
        <is>
          <t>Column headers now state grams.</t>
        </is>
      </c>
      <c r="D6" s="134" t="inlineStr">
        <is>
          <t>Aug 14 00:28 - "I should put grams in there."</t>
        </is>
      </c>
      <c r="E6" s="134" t="inlineStr">
        <is>
          <t>edit</t>
        </is>
      </c>
      <c r="F6" s="134" t="inlineStr">
        <is>
          <t>applied</t>
        </is>
      </c>
    </row>
    <row r="7">
      <c r="A7" s="134" t="n">
        <v>2</v>
      </c>
      <c r="B7" s="134" t="inlineStr">
        <is>
          <t>Custom Hydration Values, row 10 (BCAA roll-up)</t>
        </is>
      </c>
      <c r="C7" s="134" t="inlineStr">
        <is>
          <t>Struck through and flagged, not deleted. Sum verified: 1.5+0.75+0.75 = 3.00 g - pure duplication of the three rows below.</t>
        </is>
      </c>
      <c r="D7" s="134" t="inlineStr">
        <is>
          <t>Aug 14 00:34 - "we could probably just delete it."</t>
        </is>
      </c>
      <c r="E7" s="134" t="inlineStr">
        <is>
          <t>flag</t>
        </is>
      </c>
      <c r="F7" s="134" t="inlineStr">
        <is>
          <t>needs your OK</t>
        </is>
      </c>
    </row>
    <row r="8">
      <c r="A8" s="134" t="n">
        <v>3</v>
      </c>
      <c r="B8" s="134" t="inlineStr">
        <is>
          <t>Custom Hydration Values, row 14 (Electrolyte roll-up)</t>
        </is>
      </c>
      <c r="C8" s="134" t="inlineStr">
        <is>
          <t>Struck through and flagged. Sum does NOT reconcile - components total 1.669 g against 0.949 g stated.</t>
        </is>
      </c>
      <c r="D8" s="134" t="inlineStr">
        <is>
          <t>Aug 14 00:34 - "same as the electrolytes."</t>
        </is>
      </c>
      <c r="E8" s="134" t="inlineStr">
        <is>
          <t>flag</t>
        </is>
      </c>
      <c r="F8" s="134" t="inlineStr">
        <is>
          <t>blocked - see B2</t>
        </is>
      </c>
    </row>
    <row r="9">
      <c r="A9" s="134" t="n">
        <v>4</v>
      </c>
      <c r="B9" s="134" t="inlineStr">
        <is>
          <t>PF Custom, 48 cells</t>
        </is>
      </c>
      <c r="C9" s="134" t="inlineStr">
        <is>
          <t>Every '????' highlighted with a comment naming it as a missing Fishbowl part number.</t>
        </is>
      </c>
      <c r="D9" s="134" t="inlineStr">
        <is>
          <t>Aug 14 00:25 - "are these the part numbers you've got in Fishbowl?"</t>
        </is>
      </c>
      <c r="E9" s="134" t="inlineStr">
        <is>
          <t>flag</t>
        </is>
      </c>
      <c r="F9" s="134" t="inlineStr">
        <is>
          <t>Stacy to confirm</t>
        </is>
      </c>
    </row>
    <row r="10">
      <c r="A10" s="134" t="n">
        <v>5</v>
      </c>
      <c r="B10" s="134" t="inlineStr">
        <is>
          <t>PF Custom, 'Calories' rows</t>
        </is>
      </c>
      <c r="C10" s="134" t="inlineStr">
        <is>
          <t>Commented as a nutritional attribute, not a consumable part.</t>
        </is>
      </c>
      <c r="D10" s="134" t="inlineStr">
        <is>
          <t>calories cannot be issued to a work order</t>
        </is>
      </c>
      <c r="E10" s="134" t="inlineStr">
        <is>
          <t>flag</t>
        </is>
      </c>
      <c r="F10" s="134" t="inlineStr">
        <is>
          <t>suggest removal</t>
        </is>
      </c>
    </row>
    <row r="11">
      <c r="A11" s="134" t="n">
        <v>6</v>
      </c>
      <c r="B11" s="134" t="inlineStr">
        <is>
          <t>PF Custom, B4</t>
        </is>
      </c>
      <c r="C11" s="134" t="inlineStr">
        <is>
          <t>Batch-weight reconciliation noted: 55.00 g short on PF75, 61.18 g short on PF90, 26.79 g OVER on PF120.</t>
        </is>
      </c>
      <c r="D11" s="134" t="inlineStr">
        <is>
          <t>computed from the sheet's own figures</t>
        </is>
      </c>
      <c r="E11" s="134" t="inlineStr">
        <is>
          <t>flag</t>
        </is>
      </c>
      <c r="F11" s="134" t="inlineStr">
        <is>
          <t>reconcile</t>
        </is>
      </c>
    </row>
    <row r="12">
      <c r="A12" s="134" t="n">
        <v>7</v>
      </c>
      <c r="B12" s="134" t="inlineStr">
        <is>
          <t>Custom Hydration Values, A19 / A24</t>
        </is>
      </c>
      <c r="C12" s="134" t="inlineStr">
        <is>
          <t>Material factors documented: caffeine 2.00x, electrolytes 4.89x.</t>
        </is>
      </c>
      <c r="D12" s="134" t="inlineStr">
        <is>
          <t>computed across every step and both batch sizes</t>
        </is>
      </c>
      <c r="E12" s="134" t="inlineStr">
        <is>
          <t>flag</t>
        </is>
      </c>
      <c r="F12" s="134" t="inlineStr">
        <is>
          <t>confirm caffeine</t>
        </is>
      </c>
    </row>
    <row r="13">
      <c r="A13" s="134" t="n">
        <v>8</v>
      </c>
      <c r="B13" s="134" t="inlineStr">
        <is>
          <t>Custom Hydration Values, A7</t>
        </is>
      </c>
      <c r="C13" s="134" t="inlineStr">
        <is>
          <t>Flagged that "Nil to Total" gives only the endpoints - the intermediate steps for this range are undefined.</t>
        </is>
      </c>
      <c r="D13" s="134" t="inlineStr">
        <is>
          <t>your correction: all items are stepped</t>
        </is>
      </c>
      <c r="E13" s="134" t="inlineStr">
        <is>
          <t>flag</t>
        </is>
      </c>
      <c r="F13" s="134" t="inlineStr">
        <is>
          <t>needs steps</t>
        </is>
      </c>
    </row>
    <row r="14">
      <c r="A14" s="134" t="n">
        <v>9</v>
      </c>
      <c r="B14" s="134" t="inlineStr">
        <is>
          <t>New sheet: Report Config</t>
        </is>
      </c>
      <c r="C14" s="134" t="inlineStr">
        <is>
          <t>Structured config for the Setup tab - discovery rule, pack mapping keyed on part.num, full step tables, calculation rules.</t>
        </is>
      </c>
      <c r="D14" s="134" t="inlineStr">
        <is>
          <t>your proposal, populated from this workbook</t>
        </is>
      </c>
      <c r="E14" s="134" t="inlineStr">
        <is>
          <t>new</t>
        </is>
      </c>
      <c r="F14" s="134" t="inlineStr">
        <is>
          <t>for review</t>
        </is>
      </c>
    </row>
    <row r="16" ht="20" customHeight="1">
      <c r="A16" s="131" t="inlineStr">
        <is>
          <t>B. OPEN QUESTIONS  -  these block the report, in priority order</t>
        </is>
      </c>
    </row>
    <row r="17" ht="30" customHeight="1">
      <c r="A17" s="132" t="inlineStr">
        <is>
          <t>#</t>
        </is>
      </c>
      <c r="B17" s="132" t="inlineStr">
        <is>
          <t>question</t>
        </is>
      </c>
      <c r="C17" s="132" t="inlineStr">
        <is>
          <t>why it matters</t>
        </is>
      </c>
      <c r="D17" s="132" t="inlineStr">
        <is>
          <t>owner</t>
        </is>
      </c>
      <c r="E17" s="132" t="inlineStr">
        <is>
          <t>raised</t>
        </is>
      </c>
      <c r="F17" s="132" t="inlineStr">
        <is>
          <t>blocks</t>
        </is>
      </c>
    </row>
    <row r="18">
      <c r="A18" s="133" t="n">
        <v>1</v>
      </c>
      <c r="B18" s="133" t="inlineStr">
        <is>
          <t>Fishbowl part numbers for every '????' component.</t>
        </is>
      </c>
      <c r="C18" s="133" t="inlineStr">
        <is>
          <t>The report resolves each component to part.id + uom.id before it will create anything. No part number, no build.</t>
        </is>
      </c>
      <c r="D18" s="133" t="inlineStr">
        <is>
          <t>Stacy</t>
        </is>
      </c>
      <c r="E18" s="133" t="inlineStr">
        <is>
          <t>Aug 14, 00:25</t>
        </is>
      </c>
      <c r="F18" s="133" t="inlineStr">
        <is>
          <t>all builds</t>
        </is>
      </c>
    </row>
    <row r="19">
      <c r="A19" s="133" t="n">
        <v>2</v>
      </c>
      <c r="B19" s="133" t="inlineStr">
        <is>
          <t>Intermediate steps for the Custom Hydration range - how many, at what per-serve values?</t>
        </is>
      </c>
      <c r="C19" s="133" t="inlineStr">
        <is>
          <t>The tab gives only nil and the maximum. With no continuous ranges, a step list is required before anything in that range can be selected or costed.</t>
        </is>
      </c>
      <c r="D19" s="133" t="inlineStr">
        <is>
          <t>Stacy / Infinit</t>
        </is>
      </c>
      <c r="E19" s="133" t="inlineStr">
        <is>
          <t>your correction</t>
        </is>
      </c>
      <c r="F19" s="133" t="inlineStr">
        <is>
          <t>hydration range</t>
        </is>
      </c>
    </row>
    <row r="20">
      <c r="A20" s="133" t="n">
        <v>3</v>
      </c>
      <c r="B20" s="133" t="inlineStr">
        <is>
          <t>Electrolyte roll-up: is 0.949 g elemental content, or is one of the five figures wrong? (components sum to 1.669 g)</t>
        </is>
      </c>
      <c r="C20" s="133" t="inlineStr">
        <is>
          <t>Determines what the work order consumes. A 76% error either way.</t>
        </is>
      </c>
      <c r="D20" s="133" t="inlineStr">
        <is>
          <t>Stacy / Infinit</t>
        </is>
      </c>
      <c r="E20" s="133" t="inlineStr">
        <is>
          <t>computed</t>
        </is>
      </c>
      <c r="F20" s="133" t="inlineStr">
        <is>
          <t>hydration range</t>
        </is>
      </c>
    </row>
    <row r="21">
      <c r="A21" s="133" t="n">
        <v>4</v>
      </c>
      <c r="B21" s="133" t="inlineStr">
        <is>
          <t>Caffeine 2.00x factor: is RAW-CAFFEINE ~50% caffeine, or are the mg labels half the true dose?</t>
        </is>
      </c>
      <c r="C21" s="133" t="inlineStr">
        <is>
          <t>A 2x error on a stimulant. Must be explicit in config, not implied.</t>
        </is>
      </c>
      <c r="D21" s="133" t="inlineStr">
        <is>
          <t>Stacy / Infinit</t>
        </is>
      </c>
      <c r="E21" s="133" t="inlineStr">
        <is>
          <t>computed</t>
        </is>
      </c>
      <c r="F21" s="133" t="inlineStr">
        <is>
          <t>caffeine option</t>
        </is>
      </c>
    </row>
    <row r="22">
      <c r="A22" s="133" t="n">
        <v>5</v>
      </c>
      <c r="B22" s="133" t="inlineStr">
        <is>
          <t>Min/max for maltodextrin, fructose and dextrose - the Carbohydrate Blend steps.</t>
        </is>
      </c>
      <c r="C22" s="133" t="inlineStr">
        <is>
          <t>Still with the US. The whole carbohydrate item is unbuildable until these land.</t>
        </is>
      </c>
      <c r="D22" s="133" t="inlineStr">
        <is>
          <t>Infinit US via Stacy</t>
        </is>
      </c>
      <c r="E22" s="133" t="inlineStr">
        <is>
          <t>Aug 14, 00:19</t>
        </is>
      </c>
      <c r="F22" s="133" t="inlineStr">
        <is>
          <t>carb blend</t>
        </is>
      </c>
    </row>
    <row r="23">
      <c r="A23" s="133" t="n">
        <v>6</v>
      </c>
      <c r="B23" s="133" t="inlineStr">
        <is>
          <t>Caffeine top step: 100 mg (25-serve column) or 200 mg (12/5/24xSS columns)?</t>
        </is>
      </c>
      <c r="C23" s="133" t="inlineStr">
        <is>
          <t>A step list is defined once, per serve, and should not vary by pack size.</t>
        </is>
      </c>
      <c r="D23" s="133" t="inlineStr">
        <is>
          <t>Stacy</t>
        </is>
      </c>
      <c r="E23" s="133" t="inlineStr">
        <is>
          <t>from the sheet</t>
        </is>
      </c>
      <c r="F23" s="133" t="inlineStr">
        <is>
          <t>validation</t>
        </is>
      </c>
    </row>
    <row r="24">
      <c r="A24" s="133" t="n">
        <v>7</v>
      </c>
      <c r="B24" s="133" t="inlineStr">
        <is>
          <t>Does flavour strength (Light/Mid/Strong) change the quantity, or only the flavour code?</t>
        </is>
      </c>
      <c r="C24" s="133" t="inlineStr">
        <is>
          <t>The PF Custom tab carries the headers but only one quantity. If strength matters, three values are missing.</t>
        </is>
      </c>
      <c r="D24" s="133" t="inlineStr">
        <is>
          <t>Stacy</t>
        </is>
      </c>
      <c r="E24" s="133" t="inlineStr">
        <is>
          <t>from the sheet</t>
        </is>
      </c>
      <c r="F24" s="133" t="inlineStr">
        <is>
          <t>flavour item</t>
        </is>
      </c>
    </row>
    <row r="25">
      <c r="A25" s="133" t="n">
        <v>8</v>
      </c>
      <c r="B25" s="133" t="inlineStr">
        <is>
          <t>Is 'Calories' a component at all, or a label that drives the carbohydrate blend?</t>
        </is>
      </c>
      <c r="C25" s="133" t="inlineStr">
        <is>
          <t>It has no part number and no values, and calories cannot be consumed on a work order.</t>
        </is>
      </c>
      <c r="D25" s="133" t="inlineStr">
        <is>
          <t>Stacy</t>
        </is>
      </c>
      <c r="E25" s="133" t="inlineStr">
        <is>
          <t>from the sheet</t>
        </is>
      </c>
      <c r="F25" s="133" t="inlineStr">
        <is>
          <t>config layout</t>
        </is>
      </c>
    </row>
    <row r="26">
      <c r="A26" s="133" t="n">
        <v>9</v>
      </c>
      <c r="B26" s="133" t="inlineStr">
        <is>
          <t>Batch weights don't reconcile to the component sums (see A6).</t>
        </is>
      </c>
      <c r="C26" s="133" t="inlineStr">
        <is>
          <t>A component total in the report won't match the stated batch weight.</t>
        </is>
      </c>
      <c r="D26" s="133" t="inlineStr">
        <is>
          <t>Stacy / Infinit</t>
        </is>
      </c>
      <c r="E26" s="133" t="inlineStr">
        <is>
          <t>computed</t>
        </is>
      </c>
      <c r="F26" s="133" t="inlineStr">
        <is>
          <t>costing accuracy</t>
        </is>
      </c>
    </row>
    <row r="27">
      <c r="A27" s="133" t="n">
        <v>10</v>
      </c>
      <c r="B27" s="133" t="inlineStr">
        <is>
          <t>Are the 12 / 5 / 24xSS pack figures purely derived, or are there pack-specific overrides?</t>
        </is>
      </c>
      <c r="C27" s="133" t="inlineStr">
        <is>
          <t>Determines whether the step table needs a row per pack size or can scale.</t>
        </is>
      </c>
      <c r="D27" s="133" t="inlineStr">
        <is>
          <t>Andrew</t>
        </is>
      </c>
      <c r="E27" s="133" t="inlineStr">
        <is>
          <t>from the sheet</t>
        </is>
      </c>
      <c r="F27" s="133" t="inlineStr">
        <is>
          <t>pack SKUs</t>
        </is>
      </c>
    </row>
    <row r="28">
      <c r="A28" s="133" t="n">
        <v>11</v>
      </c>
      <c r="B28" s="133" t="inlineStr">
        <is>
          <t>Do the Premium Fuel Boosts belong on the Premium Fuel tab rather than Custom Hydration?</t>
        </is>
      </c>
      <c r="C28" s="133" t="inlineStr">
        <is>
          <t>Affects which range offers them in the Setup tab.</t>
        </is>
      </c>
      <c r="D28" s="133" t="inlineStr">
        <is>
          <t>Stacy</t>
        </is>
      </c>
      <c r="E28" s="133" t="inlineStr">
        <is>
          <t>Aug 14, 00:24</t>
        </is>
      </c>
      <c r="F28" s="133" t="inlineStr">
        <is>
          <t>config layout</t>
        </is>
      </c>
    </row>
    <row r="30" ht="20" customHeight="1">
      <c r="A30" s="131" t="inlineStr">
        <is>
          <t>C. BUG FOUND IN THE CURRENT HTML  -  fix before anything else</t>
        </is>
      </c>
    </row>
    <row r="31" ht="118" customHeight="1">
      <c r="A31" s="138" t="inlineStr">
        <is>
          <t>CSBuild.open() calls resolveBaseRecipe(row.product_num), and bomHeaderSQL matches on fgpart.num = that value. But the finished good on the BOM is the PART, reached product.partId -&gt; part.id, and that part's num can differ from the product num. Wherever they differ the BOM lookup silently finds nothing, falls back to the fixture recipe, and the line reports "No active BOM found" - which reads as missing data rather than a wrong lookup.
The query already selects pt.id AS part_id and pt.num AS part_num. Pass part_id and match the BOM on fgbi.partid = &lt;part_id&gt; instead of on a name. Everything downstream - pack mapping, the MO payload - should key on the part too.</t>
        </is>
      </c>
      <c r="B31" s="136" t="n"/>
      <c r="C31" s="136" t="n"/>
      <c r="D31" s="136" t="n"/>
      <c r="E31" s="136" t="n"/>
      <c r="F31" s="136" t="n"/>
    </row>
    <row r="33" ht="20" customHeight="1">
      <c r="A33" s="131" t="inlineStr">
        <is>
          <t>D. THE DECISION STILL OUTSTANDING  -  per-order MO vs weekly reconciliation</t>
        </is>
      </c>
    </row>
    <row r="34" ht="182" customHeight="1">
      <c r="A34" s="135" t="inlineStr">
        <is>
          <t>Aug 14, 00:36-00:39. Stacy: "For any custom or premium fuel customised online Shopify orders, I don't want to create anything in Fishbowl for that. Because that's unmanageable... I can't have someone sitting here full-time just doing that. We need to hire a whole person for that."
Your position: without a manufacture order converting components into finished stock, there is no accurate cost of goods against the sale. The weekly-tally-then-scrap alternative puts the cost in the right month but cannot tie it to the five sales that consumed it - "you've sold a bag at 50 bucks with no cost against it."
This is what the report is for: if creating the MO is one click from a queue that has already resolved the recipe, the objection about hiring a person goes away and the costing stays correct. Worth saying that explicitly when you next show it - it is the argument the report makes, and it was left unresolved on the call.
If the answer does land on weekly reconciliation, the report needs a second mode: an ingredient total across everything SHIPPED in a date window, for one scrap transaction with notes. Different query, not a variation on this one.</t>
        </is>
      </c>
      <c r="B34" s="136" t="n"/>
      <c r="C34" s="136" t="n"/>
      <c r="D34" s="136" t="n"/>
      <c r="E34" s="136" t="n"/>
      <c r="F34" s="136" t="n"/>
    </row>
  </sheetData>
  <mergeCells count="7">
    <mergeCell ref="A2:F2"/>
    <mergeCell ref="A16:F16"/>
    <mergeCell ref="A33:F33"/>
    <mergeCell ref="A31:F31"/>
    <mergeCell ref="A34:F34"/>
    <mergeCell ref="A4:F4"/>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Stacy Manczal</dc:creator>
  <dcterms:created xmlns:dcterms="http://purl.org/dc/terms/" xmlns:xsi="http://www.w3.org/2001/XMLSchema-instance" xsi:type="dcterms:W3CDTF">2026-07-21T03:54:45Z</dcterms:created>
  <dcterms:modified xmlns:dcterms="http://purl.org/dc/terms/" xmlns:xsi="http://www.w3.org/2001/XMLSchema-instance" xsi:type="dcterms:W3CDTF">2026-09-09T23:17:26Z</dcterms:modified>
  <cp:lastModifiedBy>Andrew Doenau</cp:lastModifiedBy>
  <cp:lastPrinted>2026-07-29T04:40:02Z</cp:lastPrinted>
</cp:coreProperties>
</file>